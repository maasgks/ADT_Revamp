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Page Design Map" state="visible" r:id="rId5"/>
    <sheet sheetId="3" name="Design System" state="visible" r:id="rId6"/>
    <sheet sheetId="4" name="Design Tokens" state="visible" r:id="rId7"/>
    <sheet sheetId="5" name="Reference Index" state="visible" r:id="rId8"/>
    <sheet sheetId="6" name="Observations" state="visible" r:id="rId9"/>
  </sheets>
  <calcPr calcId="171027"/>
</workbook>
</file>

<file path=xl/sharedStrings.xml><?xml version="1.0" encoding="utf-8"?>
<sst xmlns="http://schemas.openxmlformats.org/spreadsheetml/2006/main" count="1543" uniqueCount="1257">
  <si>
    <t>ADT Revamp — Page Design Reference Sheet</t>
  </si>
  <si>
    <t>Analysis of C:\Users\Gopal\Desktop\ADT_Revamp (Opendhi ADT — EOR / PEO / Immigration / Contractor workforce platform prototype). Prepared 19 Oct 2026 from a full read of index.html, 40 CSS and 32 JS files (~44k lines), including the design rationale written in code comments.</t>
  </si>
  <si>
    <t>What this workbook is</t>
  </si>
  <si>
    <t>Every page, sub-view and major flow in the project, with the design pattern it uses, the well-known product / design system that pattern is taken from or closest to, and why that design suits the page and its users.</t>
  </si>
  <si>
    <t>Pages &amp; views documented</t>
  </si>
  <si>
    <t>Modules covered</t>
  </si>
  <si>
    <t>Global shell · Dashboard (10 role views) · People · Contracts · HR Docs · Time &amp; Attendance · Payroll · Finance · Compliance Hub · Administration · Admin Access · Support · AI Executive &amp; Configure (not in sidebar)</t>
  </si>
  <si>
    <t>Overall design direction</t>
  </si>
  <si>
    <t>One monochrome "ink on white" system: Inter typeface, near-black primary (#1a1a1a), Tailwind slate neutrals, five semantic status tones and an 8-step contract pipeline ladder. Behaviour borrows from Linear (restraint, Cmd-K, side panels), information architecture from Rippling / Deel, listing conventions from enterprise admin tables (Ant ProTable), and HR / time / payroll vocabulary from Indian HRMS products (Keka, greytHR, Darwinbox, Zoho People).</t>
  </si>
  <si>
    <t>The standard page shell</t>
  </si>
  <si>
    <t>Filter bar ("Select Filter") + count tiles that double as status filters → table with S.No and pinned Action column → right-side detail panel with tabs Basic Details / Logs / History / (Attachments) / Workflow. Creation always happens in an 880px popup form. Status changes always go through Logs with a mandatory comment.</t>
  </si>
  <si>
    <t>Tabs in this workbook</t>
  </si>
  <si>
    <t xml:space="preserve">Page Design Map — one row per page/view (main sheet).
Design System — the standardised components every page reuses.
Design Tokens — colours, type, radii, motion values.
Reference Index — each reference product and how many pages draw on it.
Observations — inconsistencies and follow-ups found during analysis.</t>
  </si>
  <si>
    <t>How to read "Design Reference"</t>
  </si>
  <si>
    <t>The products named are the closest well-known source for that layout or interaction, based on evidence in the markup, class names and code comments. ADT does not copy any product's branding; the references explain the lineage of each pattern.</t>
  </si>
  <si>
    <t>Column "Design rules seen in code"</t>
  </si>
  <si>
    <t>Short quotes or paraphrases of the design rationale the team wrote into the source code comments for that page.</t>
  </si>
  <si>
    <t>Page Design Map — every page, its design source and why it fits</t>
  </si>
  <si>
    <t>One row per page, sub-view or major flow. Section colours: grey = global shell, blue = overview, green = workforce, amber = time &amp; pay, violet = governance, cyan = support, red = AI &amp; configure (built but not linked from the sidebar).</t>
  </si>
  <si>
    <t>#</t>
  </si>
  <si>
    <t>Section</t>
  </si>
  <si>
    <t>Module</t>
  </si>
  <si>
    <t>Page / View</t>
  </si>
  <si>
    <t>Page ID / Route</t>
  </si>
  <si>
    <t>How it is reached</t>
  </si>
  <si>
    <t>Primary user(s)</t>
  </si>
  <si>
    <t>Design pattern used (layout &amp; key components)</t>
  </si>
  <si>
    <t>Design reference — taken from</t>
  </si>
  <si>
    <t>Why this design suits the page &amp; use case</t>
  </si>
  <si>
    <t>Design rules seen in code</t>
  </si>
  <si>
    <t>Main source files</t>
  </si>
  <si>
    <t>Global Shell</t>
  </si>
  <si>
    <t>App Frame</t>
  </si>
  <si>
    <t>Top Bar (title, page "+", role switcher, search, bell, entity, user menu)</t>
  </si>
  <si>
    <t>— (every page)</t>
  </si>
  <si>
    <t>Always visible</t>
  </si>
  <si>
    <t>All users</t>
  </si>
  <si>
    <t>56px white bar. Logo strip = rail width so title aligns with content gutter. Page title + round black "+" Add for the current page + contextual page buttons (Cost Calculator on EOR/PEO, Calendar on Holidays). Right: "Logged in as" role menu with capability sub-lines, Ctrl+K search, bell with red dot, entity menu, avatar menu (profile, Apply Application, demo switches, Sign out). Popovers grow from their anchor.</t>
  </si>
  <si>
    <t>Stripe Dashboard / Linear app header; Stripe &amp; Deel account (entity) switcher; Salesforce "Log in as" for the role switcher</t>
  </si>
  <si>
    <t>Every global control lives in one predictable strip, so page content stays focused on work. The contextual "+" and tool buttons put the main create action where the eye already is. The role switcher lets stakeholders demo role-gated flows (HR, Compliance, IT, Finance, Manager, Employee) without logging out.</t>
  </si>
  <si>
    <t>Page actions are contextual — Cost Calculator only on EOR/PEO listings ("an immigration case is priced on government fees"). Role sub-lines document RBAC inline.</t>
  </si>
  <si>
    <t>index.html, js/core.js (setAppRole), js/renderer.js</t>
  </si>
  <si>
    <t>Sidebar Navigation (grouped rail)</t>
  </si>
  <si>
    <t>— (sidebarItems)</t>
  </si>
  <si>
    <t>224px rail, collapses to 62px icon rail; auto-folds at ≤1024px and overlays on phones. Uppercase section labels (Overview, Workforce, Time &amp; Pay, Governance, Support), accordion groups (one open at a time), children behind a 2px guide line, active item = 3px ink bar + slate fill. Monochrome 15px stroke icons with one-shot hover animations (clock hand sweeps, gear turns).</t>
  </si>
  <si>
    <t>Rippling / Deel information architecture + Atlassian side-navigation mechanics (sections, collapsible groups, icon rail)</t>
  </si>
  <si>
    <t>An EOR platform has 25+ destinations; grouping by what the user is doing (not by department) lets every role find their area quickly. The collapsible rail gives wide tables more room, which matters for dense HR listings.</t>
  </si>
  <si>
    <t>"Grouped by what the user is doing, not by which team owns the screen." A section header only if it holds more than one module; a dropdown only if it holds more than one page.</t>
  </si>
  <si>
    <t>js/core.js (sidebarItems, buildSidebar), css/main.css, css/sidebar-icons.css</t>
  </si>
  <si>
    <t>Global Search / Command Palette (Ctrl+K)</t>
  </si>
  <si>
    <t>#search-overlay</t>
  </si>
  <si>
    <t>Top bar search icon, Ctrl/Cmd+K</t>
  </si>
  <si>
    <t>Centred 560px card over a blurred backdrop. Results grouped: Go to (built from the sidebar itself), Queues (pre-filtered lists e.g. Pending leave requests, Unpaid invoices, Open tickets), Create (open create forms), Tools. Ranking: prefix &gt; word-start &gt; anywhere. Arrow keys / Enter / Esc with a &lt;kbd&gt; hint footer; "Open" vs "Run" labels.</t>
  </si>
  <si>
    <t>Linear / Raycast / Superhuman command palette</t>
  </si>
  <si>
    <t>With 40+ destinations in nested groups, two keystrokes reach anything. Queue entries "land on the work, not on the page", skipping the navigate-then-filter step power users repeat daily.</t>
  </si>
  <si>
    <t>"Destinations come from the rail itself" — so the palette can never go stale. "It doubles as the product's index."</t>
  </si>
  <si>
    <t>js/renderer.js (openSearch, PALETTE_EXTRA), css/quick-actions.css</t>
  </si>
  <si>
    <t>Notifications Popover</t>
  </si>
  <si>
    <t>#notif-pop</t>
  </si>
  <si>
    <t>Bell icon</t>
  </si>
  <si>
    <t>380px card under the bell: Refresh/Close icon buttons, "Mark all as read", "Only Show Unread" switch (on by default), rows with avatar, text, time, Contract ID sub-line and amber Pending chip; empty state text. Bell shows a dot and aria-expanded; outside click closes.</t>
  </si>
  <si>
    <t>GitHub / Linear / Jira (Atlassian) notification panel</t>
  </si>
  <si>
    <t>Lightweight awareness of contract and invoice events without leaving the current page; the unread toggle keeps the list to what still needs attention.</t>
  </si>
  <si>
    <t>"The bell carries the unread count and says whether its panel is open."</t>
  </si>
  <si>
    <t>js/core.js (renderNotif, toggleNotif), css/main.css (.np-*)</t>
  </si>
  <si>
    <t>Entity Switcher + Switch Entity page</t>
  </si>
  <si>
    <t>switch-entity</t>
  </si>
  <si>
    <t>Entity menu → Switch Entity; palette</t>
  </si>
  <si>
    <t>Multi-entity admins</t>
  </si>
  <si>
    <t>Header dropdown with entity card (logo tile, Entity ID, Type, Country). Full-screen .se-page on a dot-grid slate canvas with one centred card, explanation "Financial transactions will be filtered as per the selected entity", custom dropdown of entities (initials, ID · type, green "Current" pill), Cancel / Proceed.</t>
  </si>
  <si>
    <t>Slack / Notion workspace switcher; Stripe account picker; Vercel team picker (full-screen card on a dot grid)</t>
  </si>
  <si>
    <t>Switching entity changes every figure and record in the app, so it deserves a deliberate, focused step rather than a silent dropdown change.</t>
  </si>
  <si>
    <t>Ink for "the one thing that is yours"; the only colour on screen is the green Current pill.</t>
  </si>
  <si>
    <t>js/pages.js (buildSwitchEntityHTML), css/main.css (.se-*)</t>
  </si>
  <si>
    <t>My Profile</t>
  </si>
  <si>
    <t>my-profile</t>
  </si>
  <si>
    <t>User menu; Employee dashboard quick link</t>
  </si>
  <si>
    <t>Any signed-in user</t>
  </si>
  <si>
    <t>Hero card (initials avatar with verified tick, name, role badge, entity, Edit Profile) + underline tab bar: Basic Details, Bank Details, Attachments, Salary Slip, Change Password. Basic Details = left cards (Personal, Work, Security) + right cards (activity stats, notification toggles, recent activity timeline). Attachments = Requested Docs first, then uploaded grid and dashed "Not Uploaded" slots (click or drop).</t>
  </si>
  <si>
    <t>Google Account / GitHub profile settings (hero + tabs); Keka / greytHR "My Profile" document checklist; Gusto document-upload slots</t>
  </si>
  <si>
    <t>Employees self-serve their own data and documents in one place. Putting Requested Docs first answers "what is HR waiting on from me?" immediately.</t>
  </si>
  <si>
    <t>"A tab click changes a SECTION, not the page" — only the tab body repaints so the underline marker can travel.</t>
  </si>
  <si>
    <t>js/pages.js (buildMyProfileHTML), js/employee-lifecycle.js (Requested Docs)</t>
  </si>
  <si>
    <t>Agent Mode (AI assistant — empty &amp; active)</t>
  </si>
  <si>
    <t>view agent-empty / agent-active</t>
  </si>
  <si>
    <t>openAgent()</t>
  </si>
  <si>
    <t>All users (admin persona)</t>
  </si>
  <si>
    <t>Empty: full-screen hero over a Three.js background, glass top bar "Agent Mode BETA", "What can I help you with?", two suggestion cards (Cost Calculator, Onboard an Employee), input with + menu and agent picker. Active: collapsed rail, 380px chat column (grey bot / navy user bubbles, typing dots) and a workspace column that renders the real stepper form or listing.</t>
  </si>
  <si>
    <t>ChatGPT / Claude new-chat screen (empty state); ChatGPT Canvas / Claude Artifacts (chat left, workspace right)</t>
  </si>
  <si>
    <t>Contract creation is a long structured form; conversation steers it while the workspace shows the editable artifact, avoiding forms rendered as chat bubbles.</t>
  </si>
  <si>
    <t>Workspace starts empty: "As you chat, I'll show relevant data, templates and previews on this side."</t>
  </si>
  <si>
    <t>index.html, js/core.js (agentMsgs, showAgentModule, buildQuickActions)</t>
  </si>
  <si>
    <t>Overview</t>
  </si>
  <si>
    <t>Dashboard</t>
  </si>
  <si>
    <t>Dashboard shell — role tabs &amp; shared widget system</t>
  </si>
  <si>
    <t>dashboard</t>
  </si>
  <si>
    <t>Sidebar → Dashboard</t>
  </si>
  <si>
    <t>All roles (demo switcher across 10 role views)</t>
  </si>
  <si>
    <t>Scrolling pill-tab strip with edge scroll buttons switches 10 role views. Shared parts: .hr-header, .hr-band (uppercase micro label + hairline + "Updated 5 min ago"), .hr-stat-grid KPI tiles (12-col grid, every tile spans 3, equal heights), .hr-actions Quick Actions panel, .hr-section panels with "View all ›".</t>
  </si>
  <si>
    <t>Rippling / Deel admin home + Stripe Dashboard KPI tiles; Polaris / Material affordance discipline for "door" tiles</t>
  </si>
  <si>
    <t>Each role sees the few numbers and actions that matter to their day. Identical tile sizes let the eye compare figures instead of reading size as importance; only tiles backed by a real list are clickable.</t>
  </si>
  <si>
    <t>"ONE CARD SIZE, EVERY DASHBOARD." A tile is a door "if, and only if, a listing exists" for it. Numbers are synced from data (syncDashCardCounts) — "a typed number is a claim nobody re-checks". Dates come from the clock.</t>
  </si>
  <si>
    <t>index.html, css/dashboard-multiview.css, js/core.js (DASH_CARD_LINK, syncDashCardCounts)</t>
  </si>
  <si>
    <t>Employee Dashboard</t>
  </si>
  <si>
    <t>dashboard → tab "employee"</t>
  </si>
  <si>
    <t>Default dashboard tab</t>
  </si>
  <si>
    <t>Employee</t>
  </si>
  <si>
    <t>Welcome header → quick-link chips (My Profile, Policies, Leaves &amp; Application, Holidays…) → lifecycle tracker → Overview band: Announcements (left, 2 rows), Attendance clock card, Leave Balance + Latest Payslip → Action Required table (Acknowledge / Submit / Update) → Payroll beside Leave Requests → Documents &amp; Compliance (Form 16, Offer Letter) beside Upcoming timeline → navy "Need Help? Raise Ticket" banner.</t>
  </si>
  <si>
    <t>Keka / greytHR / Darwinbox employee home (clock-in, leave balance, payslip, Form 16, holidays) + BambooHR Home announcements feed</t>
  </si>
  <si>
    <t>Employees visit daily but briefly: one thing to do (punch in), a few things to read, a short to-do list. Indian-HRMS content (₹ payslips, Form 16, regional holidays) matches the user base.</t>
  </si>
  <si>
    <t>Latest Payslip is "the only payroll fact an employee acts on" — no Payroll Status tile.</t>
  </si>
  <si>
    <t>index.html (#employee-view), js/employee-lifecycle.js (empDashRender)</t>
  </si>
  <si>
    <t>Attendance Clock-In / Clock-Out widget</t>
  </si>
  <si>
    <t>#att-card (Employee dashboard)</t>
  </si>
  <si>
    <t>Employee dashboard</t>
  </si>
  <si>
    <t>One card with three resting states (idle, in, done). During a punch an SVG dial stage plays over the card: hands wind forward on clock-in, backward on clock-out; time readout rolls up. Location is required for clock-in (permission prompt, "Allow Location Access" recovery, padlock instructions if blocked). Daily total accumulates; aria-live announcement.</t>
  </si>
  <si>
    <t>Keka / greytHR web clock-in with geo-fencing; Apple Watch / iOS clock micro-animation</t>
  </si>
  <si>
    <t>Punching in is a daily, auditable, compliance-relevant action, so it gets strong feedback and must never fail silently. The fixed card size means the KPI grid never shifts.</t>
  </si>
  <si>
    <t>"Clocking in is the only thing on the employee dashboard the user DOES." "THE CARD NEVER RESIZES." "Attendance recorded without a location is attendance nobody can audit."</t>
  </si>
  <si>
    <t>js/renderer.js (ATT_T, _attRestore), css/main.css (.att)</t>
  </si>
  <si>
    <t>Announcements panel + reading drawer</t>
  </si>
  <si>
    <t>Employee dashboard widget</t>
  </si>
  <si>
    <t>Employee (authored by HR &amp; managers)</t>
  </si>
  <si>
    <t>Panel with megaphone icon, count pill, newest 3 posts (initials avatar, title, author · role · time, blue New dot, amber pin), "View all +N more". Right 460px drawer with All / HR / Manager tabs, pinned first, full cards; opening a post scrolls and flashes it. Designed "You're all caught up" empty state.</t>
  </si>
  <si>
    <t>BambooHR / Workplace announcements feed; Notion / Intercom side-peek drawer; Linear inbox-zero empty state</t>
  </si>
  <si>
    <t>Read-mostly, low-frequency content: three items keep the dashboard cell fixed while the drawer handles long reads without leaving the dashboard.</t>
  </si>
  <si>
    <t>Empty box must not look like "this failed to load". Who someone is "is said in words", not by colour.</t>
  </si>
  <si>
    <t>js/announcements.js, css/announcements.css</t>
  </si>
  <si>
    <t>Onboarding / Offboarding Tracker (employee)</t>
  </si>
  <si>
    <t>Shown while a lifecycle runs</t>
  </si>
  <si>
    <t>Employee (new joiner / leaver)</t>
  </si>
  <si>
    <t>Section "Onboarding Tracker" with Current Status badge, big % and "X of Y stages", green progress bar, four 25% stage cards with sub-checklists, amber action row with "Upload Documents" only when the employee can act; pending lifecycle rows injected into Action Required with their owner.</t>
  </si>
  <si>
    <t>Deel / Remote.com worker onboarding progress; Rippling / Gusto onboarding checklist; Workday onboarding journey</t>
  </si>
  <si>
    <t>A new joiner needs progress and their single next action; work waiting on other teams is shown as status, not as tasks they cannot do.</t>
  </si>
  <si>
    <t>"FOUR STAGES, 25% EACH." "Only an action the employee can take gets a row here (FR-06)."</t>
  </si>
  <si>
    <t>js/employee-lifecycle.js (empDashTrackerHTML), js/dash-preview.js</t>
  </si>
  <si>
    <t>HR Dashboard</t>
  </si>
  <si>
    <t>dashboard → tab "hr"</t>
  </si>
  <si>
    <t>Dashboard tabs</t>
  </si>
  <si>
    <t>HR admin</t>
  </si>
  <si>
    <t>Key Metrics band (Total Employees, On Leave today, Birthdays, Pending Requests, Payroll Blockers alert tile, Onboarding Pending, Document Verification Pending) → Quick Actions (Add Employee, Upload Policy, Add Holiday) → Leave Requests table beside Holidays list → Birthdays &amp; Anniversaries strip.</t>
  </si>
  <si>
    <t>Keka / Darwinbox HR admin home; BambooHR "Who's out" &amp; "Celebrations"</t>
  </si>
  <si>
    <t>HR triages approvals and people events every day; medium-density tiles + two working tables give the day's to-do without opening five modules.</t>
  </si>
  <si>
    <t>Payroll Blockers is the one red alert tile — "a dashboard where three tiles are red has no alert tile".</t>
  </si>
  <si>
    <t>index.html (#hr-view), css/dashboard-multiview.css</t>
  </si>
  <si>
    <t>Reporting Manager (Team) Dashboard</t>
  </si>
  <si>
    <t>dashboard → tab "manager"</t>
  </si>
  <si>
    <t>Reporting Manager</t>
  </si>
  <si>
    <t>Tiles: My Team, Present Today, Pending Approvals, On Leave Today (names in caption). Quick Actions: Approve Leaves, Approve Expenses. Team Leave Requests table with inline Approve / Reject, Holidays, Pending Expense Claims, Birthdays &amp; Anniversaries.</t>
  </si>
  <si>
    <t>Workday / Keka manager self-service "My Team"</t>
  </si>
  <si>
    <t>Managers' work here is approval-heavy and quick, so decisions are made right on the row instead of opening each request.</t>
  </si>
  <si>
    <t>Approvals from the dashboard land on the request's Logs tab preset to the decision, asking only for a reason.</t>
  </si>
  <si>
    <t>index.html (#manager-view)</t>
  </si>
  <si>
    <t>Opendhi Super Admin Dashboard</t>
  </si>
  <si>
    <t>dashboard → tab "super-admin"</t>
  </si>
  <si>
    <t>Opendhi Super Admin (internal operator)</t>
  </si>
  <si>
    <t>11 tiles in one grid (Selected Entity text tile, Total Workforce, Tickets, Compliance Items, Contracts, Pending/Paid Invoices, Pending Entities, Payroll Blockers, Escalated Tickets, Expiring Documents) + 4 action cards (Manage Entity, Support Center, Compliance Hub, Users &amp; Roles).</t>
  </si>
  <si>
    <t>Deel / Remote.com EOR platform admin console (cross-entity "god view")</t>
  </si>
  <si>
    <t>A breadth-first health check across every module for an internal operator who must spot problems before clients do.</t>
  </si>
  <si>
    <t>"Was three separate grids with hand-set margins" — merged into the one tile grid.</t>
  </si>
  <si>
    <t>index.html (#super-admin-view)</t>
  </si>
  <si>
    <t>OpenDhi Finance Admin Dashboard</t>
  </si>
  <si>
    <t>dashboard → tab "finance-admin"</t>
  </si>
  <si>
    <t>Opendhi Finance Admin</t>
  </si>
  <si>
    <t>9 tiles mixing currency values (Total Invoiced ₹, Upcoming Payments — static) and counts (Pending / Paid / Overdue invoices — link to Payments with status filter) + 4 actions (View Invoices, Raise Invoice, Payment Reports, Contract Billing) + Invoice Overview and Paid Invoices tables.</t>
  </si>
  <si>
    <t>Stripe Billing overview; Deel invoices dashboard</t>
  </si>
  <si>
    <t>Finance needs AR health at a glance and a one-click drill into the exact invoice set behind each count.</t>
  </si>
  <si>
    <t>Money tiles stay static: "Total Invoiced ₹14.3L is a sum with no list behind it."</t>
  </si>
  <si>
    <t>index.html (#finance-admin-view)</t>
  </si>
  <si>
    <t>Finance Admin (Basic) Dashboard</t>
  </si>
  <si>
    <t>dashboard → tab "finance-admin-basic"</t>
  </si>
  <si>
    <t>Client-side Finance (reduced permissions)</t>
  </si>
  <si>
    <t>5 tiles, 3 actions (.finance-action-grid), two invoice tables (.finance-tables-grid) — a trimmed version of the Opendhi finance view.</t>
  </si>
  <si>
    <t>Stripe Billing (reduced-permission variant)</t>
  </si>
  <si>
    <t>Shows the RBAC story visually: the same finance job with fewer levers for a client-side role.</t>
  </si>
  <si>
    <t>Fixed tile track: "the same card was 389px wide above and 591px wide below" before standardising.</t>
  </si>
  <si>
    <t>index.html (#finance-admin-basic-view)</t>
  </si>
  <si>
    <t>CSM Support Dashboard</t>
  </si>
  <si>
    <t>dashboard → tab "csm"</t>
  </si>
  <si>
    <t>Customer Success Manager / support agent</t>
  </si>
  <si>
    <t>Four status cards (Blocked / Active / Pending / Unresolved) counted live from tickets, each opening Tickets with exactly that filter; Tickets feed (ID, name with flag, title, time, status) beside a Chats list with online dots.</t>
  </si>
  <si>
    <t>Zendesk agent home / Intercom inbox (queue counts + live chats with presence)</t>
  </si>
  <si>
    <t>A high-frequency queue worker needs counts by state and the newest items, not analytics.</t>
  </si>
  <si>
    <t>"A card that reads 4 and lands on a list of 3 teaches people not to trust the cards." Neutral icons so four cards don't read as four alerts.</t>
  </si>
  <si>
    <t>index.html (#csm-view), js/pages.js (renderCsmDashCards)</t>
  </si>
  <si>
    <t>Opendhi Compliance Admin Dashboard (document review queue)</t>
  </si>
  <si>
    <t>dashboard → tab "opendhi-compliance"</t>
  </si>
  <si>
    <t>Opendhi Compliance Admin</t>
  </si>
  <si>
    <t>Sentence header ("You are looking after N… N still need action"), one row of status tiles that are the whole filter (Pending Review, Awaiting Upload, Rejected, Expiring Soon, Approved, Closed), 2-line table with a "Next" column, split panel with filled Approve / outlined Reject, full-screen document viewer (zoom, paging), decision dialog requiring a note.</t>
  </si>
  <si>
    <t>Drata / Vanta evidence review + Linear split view; Jira-style state machine; DocuSign / Adobe review viewer</t>
  </si>
  <si>
    <t>This role is measured on review throughput and expiry risk, so it is a work queue, not a chart dashboard — list and viewer dominate.</t>
  </si>
  <si>
    <t>"The tiles are the filter — the whole filter." "NO DECISION COMMITS ON THE CLICK." The irreversible direction is never the one the eye lands on first.</t>
  </si>
  <si>
    <t>js/pages.js (renderOcaDashboard), js/core.js (OCA_MOVES)</t>
  </si>
  <si>
    <t>Opendhi Ops Admin Dashboard</t>
  </si>
  <si>
    <t>dashboard → tab "opendhi-ops"</t>
  </si>
  <si>
    <t>Opendhi Ops Admin</t>
  </si>
  <si>
    <t>8 tiles (Active Contracts, Active People, Compliance Items, Ready for Payroll, Payroll Blockers, Onboarding Pending, Setup Progress %) + "Contract Pipeline" stage tiles (Proposal Sent → Proposal Approved → Contract Sent → Contract Approved) + Active Contracts, Compliance Items and Pending Entities tables.</t>
  </si>
  <si>
    <t>HubSpot / Salesforce deal-stage pipeline, normalised into Stripe-style tiles</t>
  </si>
  <si>
    <t>Ops tracks throughput across contract stages and what is blocking payroll; pipeline tiles show where deals are stuck.</t>
  </si>
  <si>
    <t>Pipeline cards moved onto the standard tile — "the one hand-styled, centre-aligned card set".</t>
  </si>
  <si>
    <t>index.html (#opendhi-ops-view)</t>
  </si>
  <si>
    <t>Entity Owner Dashboard</t>
  </si>
  <si>
    <t>dashboard → tab "entity-owner"</t>
  </si>
  <si>
    <t>Client Entity Owner</t>
  </si>
  <si>
    <t>10 tiles + "Entity Setup Progress" panel (5 of 5 Complete pill, overall progress bar, step cards: Business Details, Company Structure, Bank Details, Add First Employee, Setup Teams) + 4 action cards.</t>
  </si>
  <si>
    <t>Stripe "activate your account" setup guide / Shopify Polaris setup checklist + Deel client dashboard</t>
  </si>
  <si>
    <t>A customer admin needs activation progress first (what is left before they can run payroll), then a health overview.</t>
  </si>
  <si>
    <t>Setup steps shown as completed checks; progress is the first thing read.</t>
  </si>
  <si>
    <t>index.html (#entity-owner-view)</t>
  </si>
  <si>
    <t>Workforce</t>
  </si>
  <si>
    <t>People</t>
  </si>
  <si>
    <t>Employees — Direct Employee listing</t>
  </si>
  <si>
    <t>employees (sub-tab direct) / direct</t>
  </si>
  <si>
    <t>Sidebar → People → Employees</t>
  </si>
  <si>
    <t>HR, Super Admin, Ops</t>
  </si>
  <si>
    <t>Segmented module tabs (Direct / Global, pill track with white thumb) → standard listing: filters Department, Branch, Status; lifecycle tiles Pending / Onboarding / Active / Offboarding / Inactive; columns SR. NO, Name / Employee ID (2-line), Job Title, Department, Branch, Status, Action. Action cell shows the next lifecycle step phrase and opens a step menu; dots button opens the panel.</t>
  </si>
  <si>
    <t>Rippling / HiBob people directory + Linear/Jira "row tells you the next action"; Darwinbox / Keka listing vocabulary (SR. NO, Select Filter)</t>
  </si>
  <si>
    <t>HR works through employees as a queue; one tile per journey stage answers "who is joining, who is here, who is leaving, who has gone" and the action button shows exactly what is due next.</t>
  </si>
  <si>
    <t>Tiles count over the whole set so a tile never "reads 0 the moment you filter it away". Action shows the tracker phrase "rather than the bare status".</t>
  </si>
  <si>
    <t>js/core.js (buildEmployeesHTML), js/pages.js, js/employee-lifecycle.js</t>
  </si>
  <si>
    <t>Employees — Global Employee listing</t>
  </si>
  <si>
    <t>employees (sub-tab global) / global</t>
  </si>
  <si>
    <t>Employees → Global tab</t>
  </si>
  <si>
    <t>HR, Ops (EOR / PEO / Contractor workers)</t>
  </si>
  <si>
    <t>Same shell as Direct, but filters and columns are Country and Worker Type (EOR / Contractor / PEO) instead of Department / Branch.</t>
  </si>
  <si>
    <t>Deel / Remote.com global People view (country + worker type)</t>
  </si>
  <si>
    <t>Global workers are managed by country and engagement model, not by internal department, so the columns follow how EOR ops actually slice the workforce.</t>
  </si>
  <si>
    <t>Same component, different columns — no second listing design.</t>
  </si>
  <si>
    <t>js/pages.js (global listing)</t>
  </si>
  <si>
    <t>Employee Detail Panel</t>
  </si>
  <si>
    <t>employees → row → right panel</t>
  </si>
  <si>
    <t>Click an employee row</t>
  </si>
  <si>
    <t>HR, Super Admin</t>
  </si>
  <si>
    <t>Right split panel (68%) with tabs Basic Details, Logs, History, Bank Details, Attachments, Salary Details, Workflow. sbHero header + icon field-card grid with inline Edit; Bank table; Salary = Core, Earnings vs Deductions, Assign Payheads, Net Salary highlight, Salary Schedule; Attachments empty state is a full drop zone that shrinks to a slim bar; Workflow timeline (done / in progress "pending with" / not started).</t>
  </si>
  <si>
    <t>Rippling employee profile / HiBob side sheet; Keka / greytHR salary structure; Dropbox / Google Drive drop zone</t>
  </si>
  <si>
    <t>Keeping the list visible while reading one record avoids round-trips; every facet of an employee (bank, salary, docs, history) is one tab away.</t>
  </si>
  <si>
    <t>"The empty state IS the affordance." "A control that promises an action and performs none is worse than no control." Moving row to row keeps the open tab.</t>
  </si>
  <si>
    <t>js/pages.js (attachTabHTML, sidebars), css/leaves.css</t>
  </si>
  <si>
    <t>Employee Lifecycle — Logs tab &amp; Add Log popup (onboarding / offboarding)</t>
  </si>
  <si>
    <t>employees → panel → Logs</t>
  </si>
  <si>
    <t>Employee panel / action menu</t>
  </si>
  <si>
    <t>HR, Compliance, IT, Finance, Reporting Manager (each owns steps)</t>
  </si>
  <si>
    <t>Shared Logs layout: "Current status" NEXT STEP card with buttons named for the action ("Complete Verification", "Start Offboarding Process"), roles that don't own the step see "Pending with Compliance" + switch button, then a log table. Add Log popup shows only that step's fields (document request picker with search, per-document Accept/Reject, asset &amp; IT access sections, F&amp;F auto-calc, handover). Blocking modal on Cancel Onboarding while assets are held.</t>
  </si>
  <si>
    <t>Workday / BambooHR onboarding checklists + Rippling "tasks by owner", built as a Jira-style owner-gated workflow; Linear / Notion multi-select combobox</t>
  </si>
  <si>
    <t>EOR onboarding crosses HR, Compliance, IT and Finance; making the next step and its owner explicit stops records stalling, and an append-only log gives compliance its audit trail.</t>
  </si>
  <si>
    <t>"THE LOG IS THE SOURCE OF TRUTH." "Nobody picks the next log from a list: it follows from where the record stands." Four statuses only; everything between is a log entry.</t>
  </si>
  <si>
    <t>js/employee-lifecycle.js, css/employee-lifecycle.css, js/logs-view.js</t>
  </si>
  <si>
    <t>Create New Employee wizard (4 steps)</t>
  </si>
  <si>
    <t>employee-add (opens as form over employees)</t>
  </si>
  <si>
    <t>"+" on Employees / Direct / Global</t>
  </si>
  <si>
    <t>Form with kind pill (Direct / Global), 4-step stepper: 1 Identity, 2 Employment Structure (locked auto Employee ID), 3 Compliance Snapshot (ID-proof chips, payroll toggle, derived checklist), 4 Access Governance (team chips + "Create New Team", dependent manager/role selects, access-role choice cards with a sticky live "Access Preview" permission table). Footer: Back, Save as Draft, Next / Create Employee.</t>
  </si>
  <si>
    <t>Rippling "Hire" flow + Deel / Remote.com add-worker wizard; Rippling role-permission preview / AWS IAM policy summary; Material 3 filter chips &amp; Polaris choice lists</t>
  </si>
  <si>
    <t>Hiring touches identity, statutory compliance and system access; splitting them lowers load, and the live checklist and access preview show the effect before anything is committed.</t>
  </si>
  <si>
    <t>"THE FIELDS ARE DATA, NOT MARKUP." Errors show only after Next is refused. Stepper clicks only backwards. Checklist is "DERIVED, never stored".</t>
  </si>
  <si>
    <t>js/employee-add.js, css/employee-add.css</t>
  </si>
  <si>
    <t>Teams listing + Create Team</t>
  </si>
  <si>
    <t>teams</t>
  </si>
  <si>
    <t>Sidebar → People → Teams</t>
  </si>
  <si>
    <t>HR, Admin</t>
  </si>
  <si>
    <t>Standard listing: Team Name, Department, Country, Members, Status; Active / Pending / Inactive tiles; panel tabs Basic Details, Logs, History, Team Members (name, role, designation), Workflow (approval). Create Team popup with Basic Detail + Role Assignment, inline "+ Add Department / Refresh", help-dot tooltip; can stack over the employee wizard.</t>
  </si>
  <si>
    <t>BambooHR / Keka team &amp; department masters; Zoho / Darwinbox inline "+ Add" master-data pattern</t>
  </si>
  <si>
    <t>Teams are master data that drive reporting lines and access; the same list + panel grammar keeps it learnable, and inline adds avoid leaving the form.</t>
  </si>
  <si>
    <t>Department filter built from data — "the column this listing actually groups by". Creation "like every other create form".</t>
  </si>
  <si>
    <t>js/pages.js (buildTeamsListingHTML)</t>
  </si>
  <si>
    <t>Contracts</t>
  </si>
  <si>
    <t>Contracts Landing — type chooser</t>
  </si>
  <si>
    <t>contracts (ctLandingOpen)</t>
  </si>
  <si>
    <t>Sidebar → Contracts → Overview</t>
  </si>
  <si>
    <t>Account Manager, CSM, Ops, Entity Super Admin</t>
  </si>
  <si>
    <t>Title + one line + 4-up grid of large cards (EOR, PEO, Immigration, Contractor): icon tile, big live count with unit ("11 contracts"), label, hover arrow, blurb, footer "N Active / N In progress". Disabled types stay visible with "Not enabled" chip and no number. Hover lifts 2px and inverts the icon tile.</t>
  </si>
  <si>
    <t>Deel / Remote.com product picker ("Hire an employee / contractor…") + Stripe live metric tiles</t>
  </si>
  <si>
    <t>The four products are different books of work; asking "which one are you here for" first matches how ops users split their day, and live counts double as the breakdown.</t>
  </si>
  <si>
    <t>Removed pipeline strip and extras — "every extra row of figures was something to read BEFORE" choosing. Disabled type shows no 0. "THE SAME DOOR AS A DASHBOARD TILE."</t>
  </si>
  <si>
    <t>js/pages.js (buildContractsLandingHTML), js/contract-types.js</t>
  </si>
  <si>
    <t>Contracts Listing — pipeline table</t>
  </si>
  <si>
    <t>contracts (inside a type)</t>
  </si>
  <si>
    <t>Landing card / dashboard tile</t>
  </si>
  <si>
    <t>Account Manager, CSM, Legal, Ops</t>
  </si>
  <si>
    <t>Back to "Contract types" → filter bar (search, Contract Type, Country, Status options derived from type) → 4 type-scoped summary tiles (e.g. Quote Ready, Agreement Sent, Onboarding, Ready for Payroll) → table (S.No, Contract ID, Name, Country, Type, Compliance, Date, Status, Action). Status badges use the p1–p8 colour ladder; action button shows current stage and opens the record's own stage list. Three distinct empty states.</t>
  </si>
  <si>
    <t>HubSpot / Salesforce / Pipedrive deal pipeline (list view with stage dropdown) + Linear status menu</t>
  </si>
  <si>
    <t>Contracts are commercial deals with gated stages and several owners; a table scans cross-country volume better than a kanban, and the deepening colour ladder shows progress at a glance.</t>
  </si>
  <si>
    <t>"The type band is a FILTER above the table, not a gate." "One filter pass, shared by the table, the tile counts and the summary cards." 8-step ladder where "the shade IS the data" (ΔE ≥ 12).</t>
  </si>
  <si>
    <t>js/pages.js (buildContractsListingHTML), js/contract-types.js, css/main.css (--st-p1..p8)</t>
  </si>
  <si>
    <t>Contract Detail Panel + Status-move modal</t>
  </si>
  <si>
    <t>contracts → row panel / ctStatusModal</t>
  </si>
  <si>
    <t>Row click / action menu</t>
  </si>
  <si>
    <t>AM, Legal, Ops</t>
  </si>
  <si>
    <t>Panel tabs: Basic Details, Logs, History, Commercial Terms, Compliance (checklist with upload), Workflow. Logs = avatar timeline + Status + mandatory Comment; override / revert rows tinted red with a pinned banner. Status modal: "current badge → target badge", Status select, required Comment, "View full log"; only one stage forward at a time.</t>
  </si>
  <si>
    <t>Jira transition screen (move + required comment) + Linear right-side issue panel; Rippling / Deel record view</t>
  </si>
  <si>
    <t>Stage changes have commercial and legal consequences, so each move is justified and walked-back stages stay visible to a future auditor.</t>
  </si>
  <si>
    <t>Popup replaced opening the panel — "opening a five-tab panel to make it hid the list". Entry type set by "the DIRECTION… not the button".</t>
  </si>
  <si>
    <t>js/pages.js (renderCtSidebar, buildCtStatusModalHTML), js/workflow-plan.js, js/contract-events.js</t>
  </si>
  <si>
    <t>Create a Contract — type chooser</t>
  </si>
  <si>
    <t>contract-type-select</t>
  </si>
  <si>
    <t>"+" on Contracts landing</t>
  </si>
  <si>
    <t>AM, Sales</t>
  </si>
  <si>
    <t>Centred 880px page, Back, title, sub-line, 2×2 grid of cards with icon, full product name ("Employer of Record (EOR)"), longer description and "Create EOR contract" button; disabled types explained by tooltip.</t>
  </si>
  <si>
    <t>Deel / Remote.com / Oyster "What would you like to do?" onboarding cards</t>
  </si>
  <si>
    <t>The intake forms genuinely diverge by type, so a full-page chooser with fuller explanations prevents starting the wrong legal flow.</t>
  </si>
  <si>
    <t>EOR and PEO stay two cards — "two products a client buys separately". Same icons as the landing — "the same object seen twice".</t>
  </si>
  <si>
    <t>js/pages.js (buildContractTypeSelectHTML)</t>
  </si>
  <si>
    <t>EOR / PEO Contract wizard (3 steps)</t>
  </si>
  <si>
    <t>contract-eor / contract-peo</t>
  </si>
  <si>
    <t>Type chooser / listing "+"</t>
  </si>
  <si>
    <t>Account Manager, Sales</t>
  </si>
  <si>
    <t>Centred 820px page with type pill; horizontal 3-step stepper (Basic Details / Job Details / Other Details) with numbered circles → checks; grouped .ep-form-card sections: eligibility (work-permit segmented tiles, dimmed visa question), employee info, job title/skill, dates, term, schedule, compensation, leave entitlement table, probation, notice period with deposit note. Footer Back / Next / Submit Contract.</t>
  </si>
  <si>
    <t>Deel &amp; Remote.com "Add employee" multi-step wizard (Basic → Job → Benefits/Terms); Ant Design Steps / Material stepper</t>
  </si>
  <si>
    <t>An employment contract has 25+ PRD fields; three grouped steps lower cognitive load while keeping related data together.</t>
  </si>
  <si>
    <t>"ONE FORM, TWO TYPES… The type is a parameter, not a fork." Visa question "dimmed and sealed rather than removed" so the card does not jump.</t>
  </si>
  <si>
    <t>js/pages.js (buildContractFormHTML)</t>
  </si>
  <si>
    <t>Immigration Intake (3 steps)</t>
  </si>
  <si>
    <t>contract-immigration</t>
  </si>
  <si>
    <t>Type chooser</t>
  </si>
  <si>
    <t>AM, Mobility Specialist</t>
  </si>
  <si>
    <t>.ci-* intake: Back + type pill, header + blurb, wrap-label stepper (Basic Details, Job &amp; Sponsorship, Supporting Details), cards each with a "why we ask" sub-line, 2/3-col grid, amber "Conditional" chip, searchable custom select, phone / money compound fields, segmented radios, footer Back | Save Draft | Next / Submit. Per-step validation; submit lands on the filtered list with the new row highlighted.</t>
  </si>
  <si>
    <t>Deel / Oyster immigration-case intake + Stripe Atlas / Stripe Connect onboarding "why we ask" explanatory cards</t>
  </si>
  <si>
    <t>Compliance-heavy legal intake where a wrong answer costs a filing; explanatory sub-lines and PRD-faithful conditional flags prevent bad submissions.</t>
  </si>
  <si>
    <t>"THE FIELD TABLES ARE THE SPEC." "A case, not a hire." Card sub-line "is the cheapest place… to prevent a bad submission". "Scrolling to Vietnam is not an interaction."</t>
  </si>
  <si>
    <t>js/contract-intake.js, css/contract-intake.css</t>
  </si>
  <si>
    <t>Contractor Intake (3 steps)</t>
  </si>
  <si>
    <t>contract-contractor</t>
  </si>
  <si>
    <t>AM, HR Ops</t>
  </si>
  <si>
    <t>Same .ci-* intake shell: Request Details → Scope / Classification / Commercial → Other Details; Save Draft on every step; builds a document checklist from the answers on submit.</t>
  </si>
  <si>
    <t>Deel contractor-onboarding intake (scope, classification, commercial terms)</t>
  </si>
  <si>
    <t>Contractor engagements carry misclassification risk; capturing scope and classification explicitly protects the client.</t>
  </si>
  <si>
    <t>"An engagement, not an employment." "Three contract types, three intake forms - not four, and not one." Save Draft everywhere — an intake abandoned on step 1 is the common case.</t>
  </si>
  <si>
    <t>js/contract-intake.js</t>
  </si>
  <si>
    <t>Cost Calculator</t>
  </si>
  <si>
    <t>cost-calculator</t>
  </si>
  <si>
    <t>Top bar button on EOR / PEO listings; palette</t>
  </si>
  <si>
    <t>AM, Sales, client finance</t>
  </si>
  <si>
    <t>Full-bleed page (sidebar hidden): inputs card (country select, gross salary, slider) → Calculate gate → staged loader ("Connecting to Compliance Hub → Fetching statutory rates → Calculating") → dark navy result card with counting-up total employer cost, Gross vs add-on, animated composition bar → breakdown table (rate / monthly / annual, subtotals, grand total, rates source &amp; date) → live mode after first run; Export PDF.</t>
  </si>
  <si>
    <t>Deel / Remote.com / Oyster employer-cost calculators + Stripe pricing / Billing look (dark summary card, stacked bar, line items)</t>
  </si>
  <si>
    <t>Answers one sales question — "what does an employee cost me here?" — with the headline number first and auditable statutory detail second.</t>
  </si>
  <si>
    <t>"The page opens empty on purpose." Calculate is a gate for the first run only. Every line rounded first "so what the user reads down the column always adds up".</t>
  </si>
  <si>
    <t>js/renderer.js (buildCostCalculatorPageHTML), css/cost-calc.css</t>
  </si>
  <si>
    <t>Contract Templates</t>
  </si>
  <si>
    <t>contract-templates</t>
  </si>
  <si>
    <t>Sidebar → Contracts → Templates</t>
  </si>
  <si>
    <t>Legal, Admin</t>
  </si>
  <si>
    <t>Standard listing: Template Name, Employment Type, Template ID, Country, Category (Proposal / Contract / Onboarding), Status; panel with Legal approval workflow. Create Template popup: name, segmented Employment Type, Country, segmented Category, PDF picker, Status toggle → self-closing success ring.</t>
  </si>
  <si>
    <t>DocuSign / PandaDoc template library (governed metadata on a PDF)</t>
  </si>
  <si>
    <t>Templates are controlled legal artefacts needing status, audit trail and an approver — a governed library, not a creative gallery.</t>
  </si>
  <si>
    <t>"Nothing here is a new idea about how a module works" — reuses the shared module shape.</t>
  </si>
  <si>
    <t>js/pages.js (buildContractTemplatesHTML)</t>
  </si>
  <si>
    <t>AI Contract Assistant (journey start)</t>
  </si>
  <si>
    <t>ai-contract-assistant</t>
  </si>
  <si>
    <t>Contracts "+" while the AI contract journey is Active</t>
  </si>
  <si>
    <t>AM / Sales</t>
  </si>
  <si>
    <t>Persistent 7-step journey bar (.aicj: dots + "Step X of 7", AI Automated / Human Required / Approval Required chips, "Handled by &lt;agent&gt;" badge). Two panes: left prompt card ("Create an EOR contract for Anika Shah in Netherlands", Simulate existing/new, "Skip — create manually"); right idle → skeleton search → match card or not-found mini-form with animated "Simulate Auto-Fill".</t>
  </si>
  <si>
    <t>ChatGPT Canvas / GitHub Copilot Workspace (prompt + artifact pane); Zapier / Workato run tracking for the journey bar</t>
  </si>
  <si>
    <t>Lets an AM start a contract in one sentence while still landing in reviewable, structured data; the journey bar shows which steps AI vs humans own.</t>
  </si>
  <si>
    <t>Journey bar, chips and badges all come from one journey definition (aiJourneyEvents).</t>
  </si>
  <si>
    <t>js/pages.js (buildAIContractAssistantHTML, buildAIJourneyBarHTML), js/core.js</t>
  </si>
  <si>
    <t>AI-assisted Contract review (chat + pre-filled form)</t>
  </si>
  <si>
    <t>contract-eor / contract-peo (aiAssistedFlow)</t>
  </si>
  <si>
    <t>After assistant match</t>
  </si>
  <si>
    <t>Full-height split: left 380px chat seeded with the AI summary (bot posts at each step); right the same EOR/PEO wizard shown all-steps-at-once in review mode with "AI pre-filled every field below" tip and agent badge; final button "Create Proposal".</t>
  </si>
  <si>
    <t>Microsoft Copilot / ChatGPT Canvas side-pane pattern; UiPath human-in-the-loop review</t>
  </si>
  <si>
    <t>AI output is checked in exactly the fields a human would fill, keeping a person accountable before anything goes to the client.</t>
  </si>
  <si>
    <t>Assisted review turns off the stepper and shows every step at once (isAssistedReview).</t>
  </si>
  <si>
    <t>js/pages.js (buildAIAssistedContractSplitHTML)</t>
  </si>
  <si>
    <t>AI journey — Employee / Proposal created, Waiting for approval</t>
  </si>
  <si>
    <t>ai-employee-created, ai-proposal-created, ai-proposal-waiting-approval, ai-contract-waiting-approval</t>
  </si>
  <si>
    <t>Auto-advance in AI journey</t>
  </si>
  <si>
    <t>AM, Deal Manager, Ops Manager (approvers)</t>
  </si>
  <si>
    <t>Success cards with review grids that auto-advance (~1.3s, "…sending to Deal Manager"); waiting pages with bell icon, amber "Pending Approval" pill, 3-item mini-timeline (AI Automated → Human/Approval Required → System Action) and "Simulate: &lt;manager&gt; Approves".</t>
  </si>
  <si>
    <t>UiPath Action Center / ServiceNow approval steps; Rippling workflow-automation timeline</t>
  </si>
  <si>
    <t>Makes the two PRD approval gates explicit so automation never bypasses a human sign-off.</t>
  </si>
  <si>
    <t>Each stage moves the real contract record forward, so the result shows up in the normal listing.</t>
  </si>
  <si>
    <t>js/pages.js (buildAIWaitingApprovalHTML etc.)</t>
  </si>
  <si>
    <t>AI journey — Contract document, Onboarding run, Journey complete</t>
  </si>
  <si>
    <t>ai-contract-document, ai-onboarding-run, ai-journey-complete</t>
  </si>
  <si>
    <t>AM, Ops</t>
  </si>
  <si>
    <t>Employment Agreement rendered on a paper page (.adt-doc-page: parties, compensation, clauses, signature blocks) that auto-sends via DocuSeal; onboarding run timeline (Documents → Compliance Checks → System Access); completion card with Employee + Contract summaries, "View in Contracts" / "Start Another".</t>
  </si>
  <si>
    <t>DocuSign / PandaDoc document preview; GitHub Actions / Temporal run timeline</t>
  </si>
  <si>
    <t>Shows the generated legal document before signature and then the downstream onboarding steps, closing the loop to "Ready for Payroll".</t>
  </si>
  <si>
    <t>Toasts and notifications are written at each stage so the journey is traceable.</t>
  </si>
  <si>
    <t>js/pages.js</t>
  </si>
  <si>
    <t>HR Docs</t>
  </si>
  <si>
    <t>HR Docs — landing catalogue</t>
  </si>
  <si>
    <t>hr-docs</t>
  </si>
  <si>
    <t>Sidebar → HR Docs</t>
  </si>
  <si>
    <t>HR (Super Admin maintains templates)</t>
  </si>
  <si>
    <t>Header with read-only stat tiles (Letter Types, Issued, In Draft) → two columns: catalogue of 9 letter types grouped by stage (Hiring &amp; Joining, During Employment, Exit, Disciplinary) with neutral icon tiles, draft / issued chips and Create; right rail with Saved Drafts and Recently Issued (age swaps to Delete on hover).</t>
  </si>
  <si>
    <t>Notion template gallery / Gmail drafts rail; "HR Letters" in Keka, Darwinbox, greytHR</t>
  </si>
  <si>
    <t>The page has three jobs — start a letter, pick up a draft, find an issued one — and its shape follows those jobs.</t>
  </si>
  <si>
    <t>"WHAT THE PAGE IS FOR decides its shape." Tiles are "totals, not filters". "Drafts lead… they are work waiting on someone."</t>
  </si>
  <si>
    <t>js/hr-docs.js, css/hr-docs.css</t>
  </si>
  <si>
    <t>HR Docs — letter type screen</t>
  </si>
  <si>
    <t>hr-docs (type open)</t>
  </si>
  <si>
    <t>Click a letter type</t>
  </si>
  <si>
    <t>HR</t>
  </si>
  <si>
    <t>Back link, header with the type icon and Create, Saved Drafts table above an Issued Documents table with search and pager.</t>
  </si>
  <si>
    <t>Google Drive / Notion database view of documents by type</t>
  </si>
  <si>
    <t>Drafts (unfinished work) sit above history so HR finishes what is pending before searching the archive.</t>
  </si>
  <si>
    <t>Opens on its cards, not on whichever type was open last (hdocReset on navigation).</t>
  </si>
  <si>
    <t>js/hr-docs.js</t>
  </si>
  <si>
    <t>HR Docs — Create / Preview / Final letter flow</t>
  </si>
  <si>
    <t>hr-docs modal (form → preview → final)</t>
  </si>
  <si>
    <t>Create on a letter type</t>
  </si>
  <si>
    <t>One form that changes view: fields generated from the template's {{placeholders}} (employee picker first, auto-filled fields tagged "Auto"); Preview on a grey canvas with a white paper page (letterhead, reference no., heading) where missing values show as dashed amber boxes; Submit disabled until complete; Final review with Edit, Save as Draft, Download (.doc).</t>
  </si>
  <si>
    <t>Google Docs / Word page-on-canvas preview + PandaDoc / DocuSign merge fields</t>
  </si>
  <si>
    <t>Letters are legal documents; a WYSIWYG preview that visibly shows gaps stops a letter going out half-filled.</t>
  </si>
  <si>
    <t>"FIELDS COME FROM THE TEMPLATE, NOT FROM A FORM DEFINITION." "THE PREVIEW IS THE POINT OF THIS POPUP."</t>
  </si>
  <si>
    <t>HR Docs — Template editor (currently switched off)</t>
  </si>
  <si>
    <t>hr-docs (HDOC_TEMPLATES_UI=false)</t>
  </si>
  <si>
    <t>Super Admin only (flag off)</t>
  </si>
  <si>
    <t>Super Admin</t>
  </si>
  <si>
    <t>Name, heading, body textarea, "Insert field" chips, live "Fields HR will fill in" list, "Make this the Active Template".</t>
  </si>
  <si>
    <t>PandaDoc / Mailchimp merge-tag template editor</t>
  </si>
  <si>
    <t>Admins change letter wording and fields without code; one active template per type avoids ambiguity.</t>
  </si>
  <si>
    <t>One Active Template per type — "never a moment with two".</t>
  </si>
  <si>
    <t>Time &amp; Pay</t>
  </si>
  <si>
    <t>Time &amp; Attendance</t>
  </si>
  <si>
    <t>Timesheets module (My / All tabs)</t>
  </si>
  <si>
    <t>timesheet</t>
  </si>
  <si>
    <t>Sidebar → Time &amp; Attendance → Timesheets</t>
  </si>
  <si>
    <t>Employee (My), Manager / HR / Admin (All)</t>
  </si>
  <si>
    <t>Module page with segmented sub-tabs My Timesheet (clock icon) and All Timesheet (list icon); routes my-timesheet / all-timesheet render the same builders.</t>
  </si>
  <si>
    <t>Apple HIG segmented control (pill track, raised white thumb) — same as Employees tabs</t>
  </si>
  <si>
    <t>The two audiences share one module entry; the segmented control makes the switch obvious and consistent with Employees.</t>
  </si>
  <si>
    <t>Merged module with sub-tab state (tsSubTab), same pattern as empSubTab.</t>
  </si>
  <si>
    <t>js/core.js (buildTimesheetHTML), js/tab-slide.js</t>
  </si>
  <si>
    <t>My Timesheet — month calendar ("soft tiles")</t>
  </si>
  <si>
    <t>my-timesheet</t>
  </si>
  <si>
    <t>Timesheets → My tab</t>
  </si>
  <si>
    <t>Filter bar (date-range presets, Reset, Search, Export) → user bar with month picker → 4 stat cards (Working days, Leaves Taken, Total Hours, Overtime with "vs last month") → Monday-first month grid with a left week rail (Week n, week total, Lock / Submit) → day tiles (hours, status pills, Late in / Early out flag, Manual tag, hover peek icon) with a 3px status rail; only exception days tinted → footer "N weeks locked and ready to submit" + Submit for Approval.</t>
  </si>
  <si>
    <t>Keka / greytHR attendance calendar (punches, grace, Late in / Early out, Weekly Off vs Holiday) × Harvest / Clockify weekly timesheet (week total, lock &amp; submit) on a Google Calendar month grid; soft-tile restyle ≈ Notion Calendar / Rippling Time</t>
  </si>
  <si>
    <t>EOR/PEO workers are judged against an entity shift, so the grid answers "did they keep the shift?", not just "were they present"; the week is the payroll approval unit.</t>
  </si>
  <si>
    <t>"A DAY THE ENTITY HAS CLOSED IS NOT AN ABSENCE." Only exceptions are labelled ("'Auto' on every day is sixteen repetitions of the default"). "A filter the tiles ignore is a filter that lies." Soft-tile override is revertible (remove timesheet-calendar.css link).</t>
  </si>
  <si>
    <t>js/pages.js (buildMyTimesheetHTML), css/timesheet-calendar.css, js/day-status.js, css/day-status.css</t>
  </si>
  <si>
    <t>Timesheet Day panel + Manual entry</t>
  </si>
  <si>
    <t>my-timesheet → day slide-over</t>
  </si>
  <si>
    <t>Click a day tile</t>
  </si>
  <si>
    <t>Employee (edit), Manager (read)</t>
  </si>
  <si>
    <t>Slide-over "Work Details": Submitted/Locked chip, date, day-status tag with its arithmetic (e.g. late by 40m), Check In / Check Out, location row expanding an inline punch map, Total Hours, Work Description, Source. Mode depends on the day: read-only if locked, Add/Edit entry if open, claim block on closed days. Manual entry form: custom hour/min pickers, location, description (500 chars), live total.</t>
  </si>
  <si>
    <t>Keka attendance day detail / greytHR regularisation; Google Calendar event side panel</t>
  </si>
  <si>
    <t>One panel adapts to what is allowed for that day, so users never see an action they cannot take; the live total catches typos before payroll does.</t>
  </si>
  <si>
    <t>"WHAT THIS PANEL IS FOR DEPENDS ON THE DAY IT IS SHOWING." Locked is "stated rather than warned about" and names the way out. Day states come from one function (dsClassify).</t>
  </si>
  <si>
    <t>js/pages.js (buildTsSidebarHTML, buildTsEditHTML), js/day-status.js</t>
  </si>
  <si>
    <t>Attendance Request (claim on Weekly Off / Holiday)</t>
  </si>
  <si>
    <t>my-timesheet → "+ Request" chip → drawer</t>
  </si>
  <si>
    <t>Weekend / holiday tile</t>
  </si>
  <si>
    <t>Employee (raises), Approver</t>
  </si>
  <si>
    <t>Always-visible small "+ Request" chip on closed days (or Pending / Approved status chip); month header shows pending count. Right drawer (reuses export-drawer shell): type, in/out times, derived total, reason (255), approver. Feature gated by a Company Settings switch.</t>
  </si>
  <si>
    <t>Keka "Attendance Request / Comp-off on holiday"; greytHR attendance regularisation</t>
  </si>
  <si>
    <t>Work on a closed day must be approved before it is paid; a claim (not a direct entry) enforces that agreement.</t>
  </si>
  <si>
    <t>"THIS IS THE CLAIM, NOT THE ENTRY… needs somebody to agree with it." "A STANDING CONTROL, NOT A HOVER REVEAL."</t>
  </si>
  <si>
    <t>js/attendance-request.js, css/attendance-request.css</t>
  </si>
  <si>
    <t>Timesheet Export drawer</t>
  </si>
  <si>
    <t>my-timesheet / all-timesheet → Export</t>
  </si>
  <si>
    <t>Export button</t>
  </si>
  <si>
    <t>Employee, HR, Payroll</t>
  </si>
  <si>
    <t>Right drawer with 4 numbered sections: 1 Whose record, 2 Report shape (day-wise / monthly-yearly roll-up), 3 Period, 4 Columns (3 groups; non-applicable groups greyed, not hidden); sentence read-out of what will export; Cancel / Export. Writes a real styled .xlsx with frozen header.</t>
  </si>
  <si>
    <t>Clockify / Toggl report export + Keka attendance report builder</t>
  </si>
  <si>
    <t>Payroll and compliance hand-offs need flexible exports; inheriting the on-screen filter makes the common case one click.</t>
  </si>
  <si>
    <t>"Each answer changes what the next one can be." The export people want "ninety-nine times out of a hundred is the thing they are looking at".</t>
  </si>
  <si>
    <t>js/ts-export.js, css/export-panel.css</t>
  </si>
  <si>
    <t>All Timesheet listing</t>
  </si>
  <si>
    <t>all-timesheet</t>
  </si>
  <si>
    <t>Timesheets → All tab</t>
  </si>
  <si>
    <t>Manager, HR, Admin, Payroll</t>
  </si>
  <si>
    <t>Filter bar (search, Status, Admin Name, Timesheet Status, Month, Export) → Unfilled / Filled / Total tiles → table (S.No, Employee ID, Name, Country, Employee Status, Timesheet Status, View Calendar + View Details icons) → split panel with Timesheet (weekly sheets + badges) and Payslips tabs under one identity strip.</t>
  </si>
  <si>
    <t>Zoho People timesheet listing / Keka "Team attendance"</t>
  </si>
  <si>
    <t>Pairing what was filed with what was paid suits a payroll-reconciliation role; the same split panel as every listing keeps it familiar.</t>
  </si>
  <si>
    <t>Same split panel so the page "behaves like the rest of the app". "A capped list that does not admit it is indistinguishable from a complete one."</t>
  </si>
  <si>
    <t>js/pages.js (buildAllTimesheetHTML)</t>
  </si>
  <si>
    <t>Employee Timesheet view (read-only calendar)</t>
  </si>
  <si>
    <t>at-timesheet-view</t>
  </si>
  <si>
    <t>All Timesheet → View Calendar</t>
  </si>
  <si>
    <t>Manager, HR</t>
  </si>
  <si>
    <t>The My Timesheet calendar rendered read-only for the chosen employee, titled "&lt;name&gt; — Timesheet", with "Back to All Timesheet"; viewers see lock / submit state without controls.</t>
  </si>
  <si>
    <t>Keka / Harvest manager review of a member's timesheet</t>
  </si>
  <si>
    <t>Reviewers see exactly what the employee sees, which removes "it looks different on my screen" disputes.</t>
  </si>
  <si>
    <t>One builder, a read-only flag (buildMyTimesheetHTML(true)).</t>
  </si>
  <si>
    <t>Leave Requests</t>
  </si>
  <si>
    <t>all-leaves</t>
  </si>
  <si>
    <t>Sidebar → Leave Requests; dashboards</t>
  </si>
  <si>
    <t>Everyone sees; HR / Admin decide; Employee can only cancel own</t>
  </si>
  <si>
    <t>Standard listing: search, Leave Type, Status; Approved / Unapproved / Pending tiles + inert personal Leave Balance tile with hover breakdown (non-admins); table Key ID, Full Name, Leave Hours, From, To, Status, Action; panel Basic Details, Logs, History, Workflow. Create Leave popup: employee, type, duration segmented, dates, session for half day, CC, optional attachment.</t>
  </si>
  <si>
    <t>Keka / Zoho People leave requests + Darwinbox approval timeline</t>
  </si>
  <si>
    <t>Leave decisions must be auditable across entities; Logs + Workflow show who decided what and why.</t>
  </si>
  <si>
    <t>"A leave decision with no note is one nobody can explain." "HR and admins decide it… The employee can only withdraw." Attachment is "evidence, never a gate".</t>
  </si>
  <si>
    <t>js/pages.js (buildAllLeavesHTML), css/leaves.css</t>
  </si>
  <si>
    <t>Apply Application (employee self-service)</t>
  </si>
  <si>
    <t>apply-application</t>
  </si>
  <si>
    <t>User menu → Apply Application</t>
  </si>
  <si>
    <t>Centred 880px column with Back, title, three cards: Application Details (type Leave / Work From Home / On Duty / Comp Off, One Day vs Multiple Days, Leave Type, Full / First Half / Second Half, dates) with a live working-day count that flags Weekly Offs and Holidays; Notify (To / CC email chips); Reason + Cancel / Submit. Inline errors.</t>
  </si>
  <si>
    <t>greytHR / Keka leave &amp; application apply form (On Duty, Comp Off, To/CC notify)</t>
  </si>
  <si>
    <t>Employees file several kinds of time-away request through one familiar form; the live day count prevents applying for days that are already off.</t>
  </si>
  <si>
    <t>"Picks that change WHICH fields show… repaint the page; typing never does." Returns to the page it came from.</t>
  </si>
  <si>
    <t>js/apply-application.js, css/apply-application.css</t>
  </si>
  <si>
    <t>Leave Balance — My balance</t>
  </si>
  <si>
    <t>leave-balance (My tab)</t>
  </si>
  <si>
    <t>Sidebar → Leave Balance</t>
  </si>
  <si>
    <t>Employee (everyone)</t>
  </si>
  <si>
    <t>Reuses timesheet stat cards (Total / Availed / Pending / Available days) → Yearly table (Limit, Availed, Pending, Available, CF Used, CF Balance "x of y", totals) → Monthly table with month picker ("No limit" where uncapped) → own Leave Requests → foot note stating the counting rule. Green / amber (≤2 days) / red tones.</t>
  </si>
  <si>
    <t>greytHR / Zoho People leave-balance ledger (carry-forward consumed first, pending held)</t>
  </si>
  <si>
    <t>Explains a balance line-by-line so employees and auditors can reconcile it without asking HR.</t>
  </si>
  <si>
    <t>One calculation feeds all three places "so a number cannot read differently in two places". Reuses ts-stats "so the two 'my' pages read as one product".</t>
  </si>
  <si>
    <t>js/leave-balance.js, css/leave-balance.css</t>
  </si>
  <si>
    <t>Leave Balance — All balances</t>
  </si>
  <si>
    <t>leave-balance (All tab)</t>
  </si>
  <si>
    <t>Leave Balance → All tab (HR / Admin only)</t>
  </si>
  <si>
    <t>Standard listing with quick tiles (low balance, pending); rows with View-page and Details icons (same pair as All Timesheet).</t>
  </si>
  <si>
    <t>Zoho People / Keka team leave balance report</t>
  </si>
  <si>
    <t>HR spots low or over-committed balances across the workforce before approvals go wrong.</t>
  </si>
  <si>
    <t>"An employee sees their own balance only." A small limit that is untouched "is not 'low'".</t>
  </si>
  <si>
    <t>js/leave-balance.js</t>
  </si>
  <si>
    <t>Leave Policies</t>
  </si>
  <si>
    <t>leave-policies</t>
  </si>
  <si>
    <t>Sidebar → Leave Policies</t>
  </si>
  <si>
    <t>Standard listing: Type, Yearly Count, Monthly Limit, Carry Forward Limit, Probation Allowed, Prorate, Status; Active / Inactive tiles; Yes in green, missing numbers as grey dash. Create popup with three sections.</t>
  </si>
  <si>
    <t>Keka / greytHR leave-type configuration</t>
  </si>
  <si>
    <t>Each entity has statutory leave rules (probation, prorate, carry-forward caps); a scannable table compares policies side by side.</t>
  </si>
  <si>
    <t>Tiles "are a second way into the Status filter, not a filter of their own".</t>
  </si>
  <si>
    <t>js/pages.js (buildLeavePoliciesHTML)</t>
  </si>
  <si>
    <t>Edit Leave Policy</t>
  </si>
  <si>
    <t>leave-policy-edit</t>
  </si>
  <si>
    <t>Leave Policies → Edit</t>
  </si>
  <si>
    <t>Full .ep-page: Back, header with Cancel / Save, summary card "Editing Policy: X" with status pill, stats strip (Yearly, Probation, Carry Forward, Status), form card (type name, carry forward, yearly, probation, monthly, CF limit, prorate, status, applicable employees) with custom selects.</t>
  </si>
  <si>
    <t>Stripe Dashboard / Shopify Polaris full-page edit form with summary header</t>
  </si>
  <si>
    <t>Policy edits affect every employee's balance; a full page with the current values summarised on top reduces accidental changes.</t>
  </si>
  <si>
    <t>Native selects removed — they were "drawn by the operating system - the one screen in the product still doing that".</t>
  </si>
  <si>
    <t>js/pages.js (buildEditLeavePolicyHTML)</t>
  </si>
  <si>
    <t>Holidays</t>
  </si>
  <si>
    <t>holidays</t>
  </si>
  <si>
    <t>Sidebar → Holidays</t>
  </si>
  <si>
    <t>HR / Admin maintain; everyone reads</t>
  </si>
  <si>
    <t>Standard listing: search, Year, Type, Branch; Upcoming / Active / Inactive tiles; table Holiday ("Next" chip), Date, Day ("Weekend" chip), Type badge, Applies To (branch chips or one entity-wide chip), Repeats, Status; panel leads with a date hero. Create popup adds a LIST of holidays with derived day and per-row duplicate validation.</t>
  </si>
  <si>
    <t>Zoho People / BambooHR holiday list + Darwinbox branch scoping</t>
  </si>
  <si>
    <t>The holiday calendar feeds timesheets, exports and leave counting, so it must be date-ordered, branch-scoped and error-free.</t>
  </si>
  <si>
    <t>"The record IS a date." "DAY IS DERIVED, NEVER TYPED." "THE ENTITY IS NOT A QUESTION." "A calendar out of date order is not a calendar."</t>
  </si>
  <si>
    <t>js/pages.js (buildHolidaysPageHTML), css/leaves.css</t>
  </si>
  <si>
    <t>View Optional Holidays (calendar overlay)</t>
  </si>
  <si>
    <t>holidays → top bar "Calendar"</t>
  </si>
  <si>
    <t>Top bar button on Holidays page</t>
  </si>
  <si>
    <t>Modal with Optional / Regular tabs: month grid, this month's events list, holiday detail pane with Apply, month picker with dots on months that have holidays; entitlement of 3 shown as a derived balance; fixed six-week height.</t>
  </si>
  <si>
    <t>greytHR "Restricted Holidays" / Keka optional-holiday quota, shown as a Google Calendar month view with a side detail pane</t>
  </si>
  <si>
    <t>An optional holiday is something you spend, so the view shows the remaining quota and lets you apply in place.</t>
  </si>
  <si>
    <t>"An optional holiday is an entitlement, not an announcement." "THE BALANCE IS DERIVED, NEVER STORED."</t>
  </si>
  <si>
    <t>js/optional-holidays.js, css/optional-holidays.css</t>
  </si>
  <si>
    <t>Payroll Management</t>
  </si>
  <si>
    <t>Payroll — Pay Runs</t>
  </si>
  <si>
    <t>payroll</t>
  </si>
  <si>
    <t>Sidebar → Payroll Management → Payroll</t>
  </si>
  <si>
    <t>Payroll admin, Finance</t>
  </si>
  <si>
    <t>Generic listing (Cycle, Country, Employees, Gross Pay in local currency e.g. "EUR 184,200", Status; Active / Inactive / Pending tiles) with its own detail panel: Basic Details, Logs, History, Pay Summary, Workflow (Payroll ID, period, cut-off, pay date, gross → deductions → employer contributions → net, approvals). Create Pay Run popup derives entity &amp; currency from country.</t>
  </si>
  <si>
    <t>Deel / Remote.com multi-country pay runs + Gusto / Rippling pay-run summary</t>
  </si>
  <si>
    <t>EOR payroll runs per country and per entity; the summary walks gross to net so approvers see employer cost before releasing.</t>
  </si>
  <si>
    <t>Country picks entity and currency so they "cannot disagree". Pay cycles offered are current + next five, "never for one long closed".</t>
  </si>
  <si>
    <t>js/core.js (buildListingHTML, renderPrSidebar), js/pay-create.js</t>
  </si>
  <si>
    <t>Payheads</t>
  </si>
  <si>
    <t>payheads</t>
  </si>
  <si>
    <t>Sidebar → Payroll Management → Payheads</t>
  </si>
  <si>
    <t>Payroll admin</t>
  </si>
  <si>
    <t>Standard listing: Payhead, Category, Calculation On, Rule (slab summary), Status; panel with slab table, Logs, Workflow. Create Payhead popup: name, category, calculation on, slab rows (From derived, To, Value, Calc Method), empty To = "and above".</t>
  </si>
  <si>
    <t>Zoho Payroll / greytHR salary components ("pay heads" — Tally / Indian payroll vocabulary) with tax-slab tables</t>
  </si>
  <si>
    <t>Statutory components vary by income band; slab rows that cannot gap or overlap keep payroll maths correct.</t>
  </si>
  <si>
    <t>"FROM VALUE IS DERIVED, NEVER TYPED… cannot develop a gap or an overlap." "A payhead with no rule is not a payhead."</t>
  </si>
  <si>
    <t>js/pages.js (buildPayheadsPageHTML)</t>
  </si>
  <si>
    <t>Finance</t>
  </si>
  <si>
    <t>Payments (Invoices)</t>
  </si>
  <si>
    <t>payments</t>
  </si>
  <si>
    <t>Sidebar → Finance → Payments; finance dashboards</t>
  </si>
  <si>
    <t>Finance, Admin, client billing</t>
  </si>
  <si>
    <t>Standard listing: search, Country, Status, Date; Paid / Pending / Closed tiles; table Order ID, Name, Amount Due, Type, Order Status, Invoice Status stepper dropdown (Unpaid → Pending → Paid → Closed), Action. Picking a step opens Logs preset to that move. Panel tabs: Basic, Logs, History, Sales, Taxes, User, Employee, Attachments, Timesheets, Receivable, Workflow. Create Invoice popup.</t>
  </si>
  <si>
    <t>Stripe / Chargebee invoice lists (Amount Due, status lifecycle) + Deel contractor invoicing (timesheet-linked billing)</t>
  </si>
  <si>
    <t>EOR / contractor invoices come from timesheet periods; linking Timesheets and Receivable tabs makes every amount traceable to hours.</t>
  </si>
  <si>
    <t>Status move "recorded with a reason instead of silently".</t>
  </si>
  <si>
    <t>js/pages.js (buildPaymentsHTML), js/pay-create.js</t>
  </si>
  <si>
    <t>Governance</t>
  </si>
  <si>
    <t>Compliance Hub</t>
  </si>
  <si>
    <t>Compliance Item (requirement catalogue)</t>
  </si>
  <si>
    <t>compliance</t>
  </si>
  <si>
    <t>Sidebar → Compliance Hub → Compliance Item</t>
  </si>
  <si>
    <t>Admin, Super Admin</t>
  </si>
  <si>
    <t>Standard listing: search, Country, Model (EOR / PEO / Direct), Status; Active / Inactive tiles; table S.No, Country, Compliance Item, Employment Model, Status, Action. Create modal: name, model &amp; category radio tiles, country, rules card with three switches (Mandatory, Payroll Blocking, Evidence Required). Panel: 10-card Basic Details, Logs (comment required), History, Attachments, Workflow.</t>
  </si>
  <si>
    <t>Deel Compliance Hub / Vanta-style control library (country × model catalogue with control flags)</t>
  </si>
  <si>
    <t>EOR compliance is a matrix of jurisdiction × engagement model; explicit gating flags turn legal requirements into configuration payroll can enforce.</t>
  </si>
  <si>
    <t>"EVERYTHING THE PANEL KNOWS IS A FIELD." "ONE COLOURED FIELD PER PANEL, and it is Status." Yes/No is a value, not a status.</t>
  </si>
  <si>
    <t>js/pages.js (buildComplianceItemsHTML, renderComplianceSidebar)</t>
  </si>
  <si>
    <t>Rates &amp; Rules</t>
  </si>
  <si>
    <t>rates-rules</t>
  </si>
  <si>
    <t>Sidebar → Compliance Hub → Rates &amp; Rules</t>
  </si>
  <si>
    <t>Admin, payroll configurator</t>
  </si>
  <si>
    <t>Standard listing: Country, Rule Name, Category (General, Income Tax, Social Security, Benefits, Health Ins.), Applicable To, Value/Rate, Status. Create Rule modal in 3 cards: Rule Details (type radio tiles), Value &amp; Conditions (Percentage ↔ Fixed Amount swaps the field; operator Equals / Greater / Less / Between; min / max), Validity (effective from / to, active toggle) → success ring.</t>
  </si>
  <si>
    <t>Workday / SAP payroll wage-type rules + Stripe Tax rate configuration; Deel / Remote country rates</t>
  </si>
  <si>
    <t>Statutory rates change on effective dates and apply conditionally; effective dating plus caps model real contributions like social-security ceilings.</t>
  </si>
  <si>
    <t>"THE SAME RADIO TILE EVERY OTHER CREATION FORM USES." One-of-N answers are radios, not tab strips.</t>
  </si>
  <si>
    <t>js/pages.js (buildRatesRulesHTML)</t>
  </si>
  <si>
    <t>Administration</t>
  </si>
  <si>
    <t>Company Settings — listing + entity panel</t>
  </si>
  <si>
    <t>settings</t>
  </si>
  <si>
    <t>Sidebar → Administration → Company Settings</t>
  </si>
  <si>
    <t>Entity Super Admin, Admin</t>
  </si>
  <si>
    <t>Listing of setting areas (Entity Profile, Bank Details, Permissions, Notifications, Billing Contacts, Audit Logs) with Active / Inactive / Pending tiles; each row's Basic Details changes per setting. Panel has 12 tabs: Basic Details, Logs, History, Attachments, E-Sign, Banking Details, Company Structure, Roles &amp; Access, Payroll, Leaves, Attendance, Workflow.</t>
  </si>
  <si>
    <t>Rippling / Deel entity settings; Salesforce Account record tabs (one record, many configuration facets)</t>
  </si>
  <si>
    <t>ADT is multi-entity; each client entity needs its own banking, payroll, leave and signing setup, and treating the entity as one record keeps all of it plus its history together.</t>
  </si>
  <si>
    <t>"Each row of the listing is its own setting." View first, then edit, on every tab.</t>
  </si>
  <si>
    <t>js/pages.js (buildCompanySettingsHTML, renderCsSidebar)</t>
  </si>
  <si>
    <t>Company Settings — Attachments (MSA / NDA generation)</t>
  </si>
  <si>
    <t>settings → panel → Attachments</t>
  </si>
  <si>
    <t>Entity panel tab</t>
  </si>
  <si>
    <t>Account Manager, Legal</t>
  </si>
  <si>
    <t>One table with two always-present agreement rows (MSA, NDA) plus uploaded files. Generate pill → 3-step modal (Details with signatory auto-filling title → editable document preview → Done) → row flips to Pending Approval with View / Download and e-sign controls.</t>
  </si>
  <si>
    <t>PandaDoc / Ironclad "generate from template" feeding DocuSign-style e-sign</t>
  </si>
  <si>
    <t>Generated agreements belong beside uploaded ones in one list; the editable preview handles the one-off wording change legal always asks for.</t>
  </si>
  <si>
    <t>Modal mounts on its own host so "the panel keeps its tab, its scroll and its state". Signatory auto-fills title so the two never disagree.</t>
  </si>
  <si>
    <t>js/cs-agreements.js, css/cs-agreements.css</t>
  </si>
  <si>
    <t>Company Settings — E-Sign (DocuSeal) settings tab</t>
  </si>
  <si>
    <t>settings → panel → E-Sign</t>
  </si>
  <si>
    <t>Entity Super Admin, Platform Admin</t>
  </si>
  <si>
    <t>Header card "DocuSeal E-Signing" with status chip (Incomplete / Disabled / Connected / Failing / Untested) and enable switch; "DocuSeal handles / This platform handles" split; fact cards (environment, base URL, last tested, authenticated as); credentials form with masked API key &amp; webhook secret (eye toggles) and read-only webhook URL with Copy; footer Discard / Test Connection / Save.</t>
  </si>
  <si>
    <t>Stripe Dashboard / Segment integration settings; DocuSign Connect webhook configuration</t>
  </si>
  <si>
    <t>Integration setup is risky and rare; masked secrets, a draft-based Test Connection and a clear responsibility split prevent misconfiguration.</t>
  </si>
  <si>
    <t>Moved into the entity panel — "One entity, one history." Test Connection "tests the DRAFT". Secrets revealed only "on purpose".</t>
  </si>
  <si>
    <t>js/esign-settings.js, css/esign.css</t>
  </si>
  <si>
    <t>E-Sign — Send for signature &amp; tracking</t>
  </si>
  <si>
    <t>settings → Attachments row → Send to E-sign / detail</t>
  </si>
  <si>
    <t>Agreement row</t>
  </si>
  <si>
    <t>Entity Super Admin, AM, Sales Manager (status visible to all)</t>
  </si>
  <si>
    <t>Outline "Send to E-sign" button (disabled only for config blockers, reason in tooltip) → send modal with signatories → after sending the button becomes a status pill + detail icon. Detail modal: submission / document IDs with copy, signatories table "N of M signed", signed PDF &amp; audit certificate rows, webhook activity timeline, dashed webhook simulator. Ladder: Draft → Sent → Viewed → Signed by Client → Signed by Company → Fully Executed (+ Declined / Expired / Failed).</t>
  </si>
  <si>
    <t>DocuSign / Adobe Sign / PandaDoc envelope tracking (IDs, per-signer status, completion certificate)</t>
  </si>
  <si>
    <t>Legal ops need traceability (IDs to quote to support, an audit trail) more than a signing UI — DocuSeal owns the signer journey.</t>
  </si>
  <si>
    <t>"STATUS LIVES BESIDE THE EXISTING ONE, NOT ON TOP OF IT." "A disabled button is only honest when the thing blocking it can be fixed somewhere else."</t>
  </si>
  <si>
    <t>js/esign.js, css/esign.css</t>
  </si>
  <si>
    <t>Company Settings — Roles &amp; Access tab</t>
  </si>
  <si>
    <t>settings → panel → Roles &amp; Access</t>
  </si>
  <si>
    <t>Entity Super Admin</t>
  </si>
  <si>
    <t>Table: User (initials avatar + email), Role as a tone badge, Access Scope, Added On, Edit / Remove; the last Entity Super Admin row has no remove button.</t>
  </si>
  <si>
    <t>Google Workspace / Okta role-assignment table</t>
  </si>
  <si>
    <t>Admins need to see who holds which role per entity and cannot lock themselves out.</t>
  </si>
  <si>
    <t>"A role IS the status of an assignment." "The last super admin cannot be removed."</t>
  </si>
  <si>
    <t>js/pages.js (renderCsSidebar)</t>
  </si>
  <si>
    <t>Company Settings — Leaves tab</t>
  </si>
  <si>
    <t>settings → panel → Leaves</t>
  </si>
  <si>
    <t>Entity Admin, HR</t>
  </si>
  <si>
    <t>View-then-edit sections: leave period, allocation frequency, probation, LOP; Leave Restrictions (max consecutive days); Sandwich Rule with weekly-off / holiday options; Approval Workflow (none / 1-level / 2-level approvers); leave-type table.</t>
  </si>
  <si>
    <t>greytHR / Keka leave settings ("sandwich leave" — Indian HRMS vocabulary)</t>
  </si>
  <si>
    <t>Per-entity leave rules decide every balance and approval; a read view first prevents accidental edits.</t>
  </si>
  <si>
    <t>Sandwich Rule is "the single most argued-about setting in leave". Leave approvers kept separate from attendance approvers.</t>
  </si>
  <si>
    <t>js/leave-settings.js, css/leave-settings.css</t>
  </si>
  <si>
    <t>Company Settings — Attendance tab (shift, grace, geofence)</t>
  </si>
  <si>
    <t>settings → panel → Attendance</t>
  </si>
  <si>
    <t>Six areas: working hours / mode / shift, grace windows, freeze, week-off requests + approver, absconding flow, geofence. Multi-select for working days. Drawn SVG map: drag to pan, click to drop the pin; latitude / longitude are read-only outputs.</t>
  </si>
  <si>
    <t>Keka / Darwinbox attendance capture schemes &amp; geo-fencing</t>
  </si>
  <si>
    <t>Each entity has its own shift and fence, and these values drive timesheet colouring, clock-in and exports.</t>
  </si>
  <si>
    <t>"LATITUDE AND LONGITUDE ARE NOT TYPED." "Hand-keyed coordinates are the single easiest way to put an office in the sea." Widening grace here re-colours the timesheet month.</t>
  </si>
  <si>
    <t>js/attendance-settings.js, css/attendance-settings.css</t>
  </si>
  <si>
    <t>Company Settings — Banking, Company Structure, Payroll tabs</t>
  </si>
  <si>
    <t>settings → panel tabs</t>
  </si>
  <si>
    <t>Entity panel tabs</t>
  </si>
  <si>
    <t>Entity Admin, Finance</t>
  </si>
  <si>
    <t>Banking: field cards (bank, account, IFSC, SWIFT, currency, VAT, attachment). Company Structure: underline sub-tabs Branch / Departments / Designation / Signatories with small tables and "+ Add". Payroll: pay cycle, cut-off, calendar, currency, payslip publish date + input-rule toggles (approved expenses, unpaid-leave deduction).</t>
  </si>
  <si>
    <t>Rippling / Deel company settings; Zoho / Darwinbox org-structure masters</t>
  </si>
  <si>
    <t>Grouping each configuration facet as a tab on the entity record keeps setup discoverable and auditable in one place.</t>
  </si>
  <si>
    <t>Same field-card and edit-form parts as every other tab — no private shell.</t>
  </si>
  <si>
    <t>Users</t>
  </si>
  <si>
    <t>all-users</t>
  </si>
  <si>
    <t>Sidebar → Administration → Users</t>
  </si>
  <si>
    <t>Generic auto-generated listing: Name, Email, Role (Entity Super Admin, Admin, Deal Manager, Ops Manager, Finance Approver, Employee), Last Active, Status; filters Role / Status; Active / Inactive / Pending tiles; generic panel (Basic Details generated from columns with icons chosen by column name, Logs, History, Workflow).</t>
  </si>
  <si>
    <t>Okta / Google Admin user directory (deliberately generic scaffold)</t>
  </si>
  <si>
    <t>Admins mainly need to see who has access and whether accounts are active; Last Active supports access reviews.</t>
  </si>
  <si>
    <t>Basic Details "is generated from the page's own columns" so it reads like the hand-built panels.</t>
  </si>
  <si>
    <t>js/core.js (buildListingHTML), js/pages.js (renderLstSidebar)</t>
  </si>
  <si>
    <t>Admin Access</t>
  </si>
  <si>
    <t>Assets (asset allocation)</t>
  </si>
  <si>
    <t>asset-allocation</t>
  </si>
  <si>
    <t>Sidebar → Admin Access → Assets; lifecycle redirects</t>
  </si>
  <si>
    <t>HR, IT admin</t>
  </si>
  <si>
    <t>Listing: Asset (name, Key ID), Barcode (monospace), Category, Assigned To + branch, Status; filters Employee, Branch, Status; four life-state tiles; type-ahead search that opens the panel. Panel: Basic Details (condition badge, employee confirmation), Logs ("Assign To" only when Assigned), History, Purchase &amp; Warranty (progress bar, "Expires in N days"), Workflow. Create popup with image drop and generated asset code (LT-012). Return bar when arriving from an employee lifecycle log.</t>
  </si>
  <si>
    <t>Jira Service Management Assets / Snipe-IT / Freshservice asset management (barcode, warranty, check-out log)</t>
  </si>
  <si>
    <t>An auditable chain of custody for hardware is what onboarding and offboarding clearance depend on.</t>
  </si>
  <si>
    <t>"An asset or an access record belongs to the PERSON." "STATUS MOVES IN LOGS, NOT IN EDIT." Warranty arithmetic is done by the panel.</t>
  </si>
  <si>
    <t>js/admin-access.js, css/admin-access.css</t>
  </si>
  <si>
    <t>IT Accesses</t>
  </si>
  <si>
    <t>it-access</t>
  </si>
  <si>
    <t>Sidebar → Admin Access → IT Accesses; lifecycle redirects</t>
  </si>
  <si>
    <t>IT admin, HR</t>
  </si>
  <si>
    <t>Listing: Employee + ID, System (logo + access type), Login ID + role, Status, Effective / "Review &lt;date&gt;", Provisioned By; tiles Active, Pending, On Hold, Revoked, Expired. Panel: Basic Details, Logs, History, Validity ("15 days left"), Provisioning, Workflow. "+ Add System / Application" master data.</t>
  </si>
  <si>
    <t>Okta / ServiceNow access reviews; Rippling app management (system logos, expiry, review dates)</t>
  </si>
  <si>
    <t>Access must be provisioned on joining and revoked on leaving with proof; review dates and validity make renewals and audits easy.</t>
  </si>
  <si>
    <t>"Passwords, API tokens, secret keys… are never stored here." "'15 days left' is what an admin renewing access actually needs."</t>
  </si>
  <si>
    <t>js/admin-access.js</t>
  </si>
  <si>
    <t>Support</t>
  </si>
  <si>
    <t>Chats</t>
  </si>
  <si>
    <t>chats</t>
  </si>
  <si>
    <t>Sidebar → Chats; CSM dashboard</t>
  </si>
  <si>
    <t>CSM, support agent</t>
  </si>
  <si>
    <t>Standard listing (not a live inbox): Chat ID, Client Name, Assigned To, Last Activity, Status; filters Country, Assignee, Status; Active / Waiting / Inactive tiles. Panel: Basic Details, Logs, History, linked Tickets, Attachments, Assignment (reassign), Workflow. Lifecycle moves: Replied, Client replied, Close, Reopen.</t>
  </si>
  <si>
    <t>Intercom / Front conversation states (waiting on customer vs teammate), presented in the shared ticket-listing layout</t>
  </si>
  <si>
    <t>SLA management depends on knowing whose turn it is; grouping both waiting states into one tile shows stalled conversations at a glance.</t>
  </si>
  <si>
    <t>"A chat status answers ONE question: who owes the next message."</t>
  </si>
  <si>
    <t>js/pages.js (buildChatsPageHTML, renderChatSidebar), js/core.js (CHAT_FLOW)</t>
  </si>
  <si>
    <t>Tickets</t>
  </si>
  <si>
    <t>support-tickets</t>
  </si>
  <si>
    <t>Sidebar → Tickets; "Need Help?" banner; CSM dashboard</t>
  </si>
  <si>
    <t>Support agent, CSM</t>
  </si>
  <si>
    <t>One queue for all channels: 2-line table (Ticket ID + channel chip, Client + "via &lt;raiser&gt;", Title + category, Created, Status, "Next Action On" — red "Unassigned"); compact tiles Unassigned, Open, In Progress, Blocked, Awaiting Client, Unresolved. Panel: Basic Details (read-only), Logs (each move asks its own question), History, Conversation (trigger message, AI Summary, bubbles, reply), Attachments, Assignment (reason required), Workflow. Create Ticket: client, due date, trigger message, priority radio tiles, linked record, notify toggle.</t>
  </si>
  <si>
    <t>Zendesk / Freshdesk (status, priority, assignee, channel, Unassigned view) + Intercom (conversation &amp; AI summary) + Linear / Jira enforced workflow</t>
  </si>
  <si>
    <t>EOR support spans clients, employees and third parties; naming the blocker and requiring client confirmation stop tickets being closed unilaterally.</t>
  </si>
  <si>
    <t>"ONE queue, whatever channel the ticket came in on." "THE COMMENT IS THE RECORD." "BASIC DETAILS READS, IT DOES NOT ACT." "Urgent only means something next to Low."</t>
  </si>
  <si>
    <t>js/pages.js (buildTicketsPageHTML), js/core.js (TK_FLOW), js/quick-actions.js</t>
  </si>
  <si>
    <t>AI &amp; Configure (hidden from sidebar)</t>
  </si>
  <si>
    <t>AI Executive</t>
  </si>
  <si>
    <t>AI Executive — journey catalogue</t>
  </si>
  <si>
    <t>ai-executive</t>
  </si>
  <si>
    <t>Internal AI flows only</t>
  </si>
  <si>
    <t>Admin / executive</t>
  </si>
  <si>
    <t>Auto-fit grid of large journey cards (Contract Creation, Payroll Creation, Hire-to-Retire) with Activated badge, Draft banner ("Continue now to automate your journey →"), primary CTA, "+ Create Your Journey".</t>
  </si>
  <si>
    <t>Zapier / Workato / n8n template &amp; automation catalogue</t>
  </si>
  <si>
    <t>A low-frequency, discovery-style launcher for deciding which business journeys to automate.</t>
  </si>
  <si>
    <t>Uses the older .stat-card / inline-style system (not the hr-stat tiles).</t>
  </si>
  <si>
    <t>js/pages.js (buildAIExecutiveDashboardHTML)</t>
  </si>
  <si>
    <t>AI Journey Detail</t>
  </si>
  <si>
    <t>ai-journey-detail</t>
  </si>
  <si>
    <t>From AI Executive</t>
  </si>
  <si>
    <t>Stat cards (Total Events, AI Automated, Human Required, Risk Level), Connected Modules meta, Journey Runs stats + stage stepper with drill-down runs table, "Responsibility Split" (AI will handle / Human will handle), numbered timeline with actor chips opening an event modal (data source, validation, failure condition, audit requirement).</t>
  </si>
  <si>
    <t>UiPath / Workato recipe view + ServiceNow Flow Designer human-in-the-loop governance</t>
  </si>
  <si>
    <t>The main trust question for AI automation is "what will the AI do versus a human?" — the responsibility split answers it explicitly.</t>
  </si>
  <si>
    <t>Every event declares its audit requirement and failure condition.</t>
  </si>
  <si>
    <t>js/pages.js (buildAIJourneyDetailHTML)</t>
  </si>
  <si>
    <t>Automate Journey wizard</t>
  </si>
  <si>
    <t>ai-automate-form</t>
  </si>
  <si>
    <t>Admin</t>
  </si>
  <si>
    <t>6–7 step wizard (Select Journey → Basic Details → Trigger → Scope → Approvals → Validation → Review) with clickable stepper and Back / Next / Save as Draft / Activate footer.</t>
  </si>
  <si>
    <t>Zapier setup flow / Material 3 horizontal stepper</t>
  </si>
  <si>
    <t>Activating automation is a one-time, consequential configuration; stepping through trigger, scope and approvals prevents gaps.</t>
  </si>
  <si>
    <t>Save as Draft available before activation.</t>
  </si>
  <si>
    <t>js/pages.js (buildAutomateJourneyFormHTML)</t>
  </si>
  <si>
    <t>Active Automation + Run Detail</t>
  </si>
  <si>
    <t>ai-active-automation, ai-run-detail</t>
  </si>
  <si>
    <t>From journey detail</t>
  </si>
  <si>
    <t>Admin, Ops</t>
  </si>
  <si>
    <t>Active automation: meta pills (trigger, entity, country, created by), 4 stats (status, runs, success rate, exceptions), runs table (client, country &amp; type, current step, progress, status, last activity, View Run). Run detail: timeline with done / current / exception / pending states, red exception note, approve / reject / resolve actions.</t>
  </si>
  <si>
    <t>Zapier Task History / Temporal workflow list; GitHub Actions run view</t>
  </si>
  <si>
    <t>Monitoring automation needs success rate, exceptions and a per-run timeline to intervene exactly where a run failed.</t>
  </si>
  <si>
    <t>Exceptions carry a written note (e.g. statutory rate mismatch needs Finance review).</t>
  </si>
  <si>
    <t>js/pages.js (buildAIActiveAutomationHTML, buildAIRunDetailHTML)</t>
  </si>
  <si>
    <t>AI Journey Run (guided live run)</t>
  </si>
  <si>
    <t>ai-journey-run</t>
  </si>
  <si>
    <t>Admin, Finance</t>
  </si>
  <si>
    <t>Narrow 640px guided flow: prompt step → timeline → payment &amp; completion panels; payroll variant searches employee, shows match card, approval, generated ₹ payslip.</t>
  </si>
  <si>
    <t>Copilot-style task runner (Rippling / Deel AI assistants)</t>
  </si>
  <si>
    <t>Walks a user through one end-to-end automated run so they can trust what the AI produces before scaling it.</t>
  </si>
  <si>
    <t>—</t>
  </si>
  <si>
    <t>js/pages.js (buildAIJourneyRunHTML)</t>
  </si>
  <si>
    <t>Configure</t>
  </si>
  <si>
    <t>Configure — Overview</t>
  </si>
  <si>
    <t>cfg-overview</t>
  </si>
  <si>
    <t>Internal flows only</t>
  </si>
  <si>
    <t>Platform admin</t>
  </si>
  <si>
    <t>4 clickable stat tiles (Systems, Data models, Journeys, AI agents), green privacy callout "0 Business records stored", recent activity list with monospace timestamps.</t>
  </si>
  <si>
    <t>Segment / Fivetran workspace overview</t>
  </si>
  <si>
    <t>Admins need confidence about integrations and data handling; the privacy callout states that records are fetched on demand and released.</t>
  </si>
  <si>
    <t>"Full parity with the reference OpenDHI configuration console… Self-contained."</t>
  </si>
  <si>
    <t>js/pages.js (buildCfgOverviewHTML)</t>
  </si>
  <si>
    <t>Systems + System detail / Add system</t>
  </si>
  <si>
    <t>cfg-systems, cfg-system-detail, cfg-system-add</t>
  </si>
  <si>
    <t>Configure overview</t>
  </si>
  <si>
    <t>Health banner ("All systems configured" / "n of m connected"), system rows (name, type · method, Connected / Inactive), "+ Custom System"; detail with view/edit, connection block, API list with direction badges, Test connection; simple add form (name, type, method, endpoint, auth).</t>
  </si>
  <si>
    <t>Segment Sources / Airbyte Connections</t>
  </si>
  <si>
    <t>Integration health must be visible at a glance with a quick path to test or add a connection.</t>
  </si>
  <si>
    <t>js/pages.js (buildCfgSystemsHTML etc.)</t>
  </si>
  <si>
    <t>Data Foundation + Model detail / Add model</t>
  </si>
  <si>
    <t>cfg-data-foundation, cfg-model-detail, cfg-model-add</t>
  </si>
  <si>
    <t>Card grid of unified data models with mapped / enrichment / source badges; model detail with field-mapping table (unified ↔ source, type), enrichment rows, rules (maker-checker, validation), sample test; add-model form.</t>
  </si>
  <si>
    <t>Segment Unify / dbt semantic-model mapping</t>
  </si>
  <si>
    <t>AI agents need one unified data model across systems; explicit mappings and validation rules keep that trustworthy.</t>
  </si>
  <si>
    <t>js/pages.js (buildCfgDataFoundationHTML etc.)</t>
  </si>
  <si>
    <t>Context &amp; Journey + Journey detail</t>
  </si>
  <si>
    <t>cfg-context-journey, cfg-journey-detail</t>
  </si>
  <si>
    <t>Journey rows with status, tags and chevron; detail = numbered step timeline with Engine / Rule / Source tags, "Human approval required" on rule steps, "✨ Recommended: &lt;agent&gt; — click to assign", step drawer for agent and governance assignment.</t>
  </si>
  <si>
    <t>ServiceNow Flow Designer / UiPath process designer</t>
  </si>
  <si>
    <t>Mapping each journey step to an engine, a rule or an AI agent, with human approval where required, is the governance core of the AI layer.</t>
  </si>
  <si>
    <t>js/pages.js (buildCfgContextJourneyHTML, buildCfgJourneyDetailHTML)</t>
  </si>
  <si>
    <t>AI Agents</t>
  </si>
  <si>
    <t>cfg-agents</t>
  </si>
  <si>
    <t>Agent cards: sparkle icon, type · active, description, Model / Used in / Guardrail badges, "Agent Skill" button.</t>
  </si>
  <si>
    <t>Salesforce Agentforce / Microsoft Copilot Studio agent catalogue</t>
  </si>
  <si>
    <t>Shows which agents exist, where they are used and what guardrails bound them — backing the "always inside your rules" message.</t>
  </si>
  <si>
    <t>js/pages.js (buildCfgAgentsHTML)</t>
  </si>
  <si>
    <t>Prototype</t>
  </si>
  <si>
    <t>Log Demo (motion spec)</t>
  </si>
  <si>
    <t>log-demo.html</t>
  </si>
  <si>
    <t>Open file directly</t>
  </si>
  <si>
    <t>Design / dev team</t>
  </si>
  <si>
    <t>Standalone Teams listing demo: stat strip with spring count pops, split panel, add-log flow with custom dropdown, validation shake, row flash, self-closing success popup with hover-pausing progress bar.</t>
  </si>
  <si>
    <t>Material 3 motion tokens + Apple spring feedback (internal motion spec)</t>
  </si>
  <si>
    <t>A sandbox to agree motion behaviour before rolling it into the product.</t>
  </si>
  <si>
    <t>"Every colour, radius, duration and curve below is copied from css/main.css." Four durations, three curves.</t>
  </si>
  <si>
    <t>Standardised Design System</t>
  </si>
  <si>
    <t>Components and rules that every page reuses. Comments in the code repeatedly reject adding "a fifth dialect" — new screens are expected to be built from these parts.</t>
  </si>
  <si>
    <t>Component / pattern</t>
  </si>
  <si>
    <t>CSS / JS identifiers</t>
  </si>
  <si>
    <t>Standard specification</t>
  </si>
  <si>
    <t>Why it was standardised</t>
  </si>
  <si>
    <t>Used on</t>
  </si>
  <si>
    <t>Typography</t>
  </si>
  <si>
    <t>css/fonts.css, body in main.css</t>
  </si>
  <si>
    <t>Inter only, self-hosted (400–800), stylistic alternates cv02/cv03/cv04/cv11. Fixed scale with "no in-between sizes": metrics 22.5 / 18px, H1 18, H2 15, title 13, body 12, label &amp; caption 11, micro 10px. Table heads 10.5px uppercase with .4px tracking.</t>
  </si>
  <si>
    <t>Linear / Vercel Geist / shadcn (Inter, tight neutral type)</t>
  </si>
  <si>
    <t>A small, fixed scale keeps dense HR tables readable and stops every screen inventing its own sizes.</t>
  </si>
  <si>
    <t>All pages</t>
  </si>
  <si>
    <t>Colour &amp; ink</t>
  </si>
  <si>
    <t>--orange (#1a1a1a), --navy, --gray, slate ramp</t>
  </si>
  <si>
    <t>Monochrome UI: near-black ink as primary, slate-900 text, slate neutrals, white cards on #f8f9fb canvas. Colour is reserved for state. The token is still called --orange but holds #1a1a1a.</t>
  </si>
  <si>
    <t>Tailwind UI slate palette / shadcn "ink on white"</t>
  </si>
  <si>
    <t>When chrome is neutral, the few coloured things (status) carry meaning instantly.</t>
  </si>
  <si>
    <t>Status tones</t>
  </si>
  <si>
    <t>--st-ok / wait / bad / info / idle; tone-*; .lp-status-badge, .ct-sb-badge</t>
  </si>
  <si>
    <t>Five tones only, each a bg / fg / border triple. Amber means "waiting", never "bad". ~60 status labels map to these tones through SB_STATUS_TONE. A badge that just changed pops once with the spring curve.</t>
  </si>
  <si>
    <t>Atlassian lozenges / Shopify Polaris badge tones</t>
  </si>
  <si>
    <t>One status vocabulary across modules — a Pending leave and a Pending contract look identical.</t>
  </si>
  <si>
    <t>Every listing, panel and dashboard</t>
  </si>
  <si>
    <t>Contract pipeline ladder</t>
  </si>
  <si>
    <t>--st-p1 … --st-p8</t>
  </si>
  <si>
    <t>8 stage colours (cyan → teal → blue → lime → violet → green → amber → deep green), documented as ΔE ≥ 12 apart and AA contrast. "The shade IS the data."</t>
  </si>
  <si>
    <t>HubSpot / Salesforce deal-stage colours (house-specific ladder)</t>
  </si>
  <si>
    <t>Contract progress can be read across a whole table from colour alone.</t>
  </si>
  <si>
    <t>Contracts listing, Ops dashboard</t>
  </si>
  <si>
    <t>Shape rule (pill vs square)</t>
  </si>
  <si>
    <t>--r-status 999px, --r-control 8px, --r-card 14px</t>
  </si>
  <si>
    <t>PILL = read-only state, never clickable. SQUARE (8px) = actionable (buttons, tabs, filters, dropdowns). Cards 14px, modals 16px. Inside forms all fields take 8px so neighbours agree.</t>
  </si>
  <si>
    <t>Material 3 shape tokens / Apple HIG affordance</t>
  </si>
  <si>
    <t>Users can tell what is clickable from shape alone.</t>
  </si>
  <si>
    <t>Top bar</t>
  </si>
  <si>
    <t>.topbar, .tb-page-add, .tb-icon, .hdr-dd-*</t>
  </si>
  <si>
    <t>56px white bar; page title + round "+" Add + contextual page tools; role switcher, Ctrl+K search, bell, entity and user menus on the right.</t>
  </si>
  <si>
    <t>Stripe Dashboard / Linear header</t>
  </si>
  <si>
    <t>Global controls in one predictable place; page-specific actions where the eye already is.</t>
  </si>
  <si>
    <t>Sidebar rail</t>
  </si>
  <si>
    <t>.sidebar, .sb-section, .sb-parent, .sb-item, sbIco, sidebar-icons.css</t>
  </si>
  <si>
    <t>224px → 62px icon rail; sections → accordion groups → children; 3px ink active bar; monochrome 15px icons with one-shot hover animation.</t>
  </si>
  <si>
    <t>Rippling / Deel IA + Atlassian side navigation</t>
  </si>
  <si>
    <t>Many modules, many roles: grouping by task keeps navigation learnable.</t>
  </si>
  <si>
    <t>Filter bar</t>
  </si>
  <si>
    <t>.lp-filter-bar, .lp-search-input, apCS / .cs-trigger, .lp-pill-search</t>
  </si>
  <si>
    <t>"SELECT FILTER" label; search first, custom dropdowns, conditional "Clear Filters (n)", filled Search button; 34px controls.</t>
  </si>
  <si>
    <t>Ant Design ProTable search form / enterprise admin tables</t>
  </si>
  <si>
    <t>Explicit Search and Clear make multi-filter queries predictable for ops users.</t>
  </si>
  <si>
    <t>All listings</t>
  </si>
  <si>
    <t>Count tiles as filters</t>
  </si>
  <si>
    <t>.listing-stats, .listing-stat, .stat-selected</t>
  </si>
  <si>
    <t>Segmented strip of status counts; clicking toggles that status filter; selected tile gets grey fill + 3px ink bottom rail; counted over the whole set, not the filtered one.</t>
  </si>
  <si>
    <t>Zendesk / Freshdesk view counters; Polaris IndexTable view tabs</t>
  </si>
  <si>
    <t>Shows the distribution and doubles as the fastest filter.</t>
  </si>
  <si>
    <t>All listings, Compliance &amp; CSM dashboards</t>
  </si>
  <si>
    <t>Listing table</t>
  </si>
  <si>
    <t>.lp-table, .lp-c-main/.lp-c-sub, .lp-action-btn, .lp-pagination, sticky-actions.js</t>
  </si>
  <si>
    <t>Sticky uppercase heads on #fafbfc, S.No first, pinned ACTION column (edge shadow only while content is hidden), 2-line cells, whole row clickable, grey hover / grey+ink-rail selection (never blue), staggered row entrance, "Showing x–y of z", 10 rows per page.</t>
  </si>
  <si>
    <t>Ant Design / DataTables admin table conventions</t>
  </si>
  <si>
    <t>Dense, scannable, familiar to Indian enterprise HR users; the pinned action never scrolls away.</t>
  </si>
  <si>
    <t>Detail side panel</t>
  </si>
  <si>
    <t>.lp-split-sb, .lp-isb-tabbar, .sb-hero, .lp-sb-field-card, isbTab, sbRender</t>
  </si>
  <si>
    <t>Slides over 68% of the table; scrollable tabs Basic Details / Logs / History / (Attachments) / Workflow; hero card + 2-col field cards; status as coloured text (one coloured field per panel); tab kept when moving row to row; only the body swaps on tab change; draft dot + leave guard; render errors shown, never a blank sheet.</t>
  </si>
  <si>
    <t>Linear / Jira issue side panel; Rippling / Deel record view; Salesforce record tabs</t>
  </si>
  <si>
    <t>Users read one record without losing their place in the list; one panel grammar across every module.</t>
  </si>
  <si>
    <t>Logs (status moves)</t>
  </si>
  <si>
    <t>logs-view.js (lpLogsView), .lp-logs-*</t>
  </si>
  <si>
    <t>"Current status" bar → one button per legal move (max 4, rest under More; undo-type moves outlined amber) → composer with module fields and a button named after the move → table (S.No, Status, Remarks, Created By, Time).</t>
  </si>
  <si>
    <t>Jira / ServiceNow workflow transitions + audit log</t>
  </si>
  <si>
    <t>Every state change is justified and recorded; users only ever see moves that are legal from the current state.</t>
  </si>
  <si>
    <t>Every module with a lifecycle</t>
  </si>
  <si>
    <t>History</t>
  </si>
  <si>
    <t>history.js</t>
  </si>
  <si>
    <t>Field-level old → new rows captured automatically by wrapping save functions.</t>
  </si>
  <si>
    <t>Jira / Salesforce field history</t>
  </si>
  <si>
    <t>Audit of what changed without each module writing its own diff logic.</t>
  </si>
  <si>
    <t>All detail panels</t>
  </si>
  <si>
    <t>Workflow timeline</t>
  </si>
  <si>
    <t>wfTimelineHTML, workflow-plan.js</t>
  </si>
  <si>
    <t>Vertical timeline: done (derived from Logs), current ("In progress", pending with owner), not started (dashed).</t>
  </si>
  <si>
    <t>Rippling / Workday approval timeline</t>
  </si>
  <si>
    <t>Shows who is holding a record now and what is still ahead; cannot disagree with Logs.</t>
  </si>
  <si>
    <t>Buttons</t>
  </si>
  <si>
    <t>buttons.css: .btn-outline, .btn-primary (.btn-sm 28 / 34 / .btn-lg 40px)</t>
  </si>
  <si>
    <t>Exactly two variants: outline (default) and primary (#353535 fill). No semantic colour (Approve / Reject are not green / red), no shadow, hover only darkens, press scale .97; destructive sits left and outlined.</t>
  </si>
  <si>
    <t>Vercel Geist / shadcn buttons; Apple HIG / Polaris button order</t>
  </si>
  <si>
    <t>Removes colour noise and ad-hoc styles; the primary action is always obvious.</t>
  </si>
  <si>
    <t>Creation forms</t>
  </si>
  <si>
    <t>.ct-modal--form (880px), form-page.js, form-system.css, .ep-form-card</t>
  </si>
  <si>
    <t>Two form families only (popup and page). 42px controls, labels above, 2-col grid, never native selects, segmented controls, choice cards, conditional fields dimmed not hidden, sticky footer; popups re-presented as in-page forms with Back.</t>
  </si>
  <si>
    <t>Stripe Dashboard / Polaris full-page forms; Ant "large" controls</t>
  </si>
  <si>
    <t>Every create flow feels the same, so users learn it once.</t>
  </si>
  <si>
    <t>All create flows</t>
  </si>
  <si>
    <t>Segmented control &amp; tab marker</t>
  </si>
  <si>
    <t>.segmented, .mod-tabs, tab-slide.js (.tab-ind--box/pill/under)</t>
  </si>
  <si>
    <t>Grey track with raised white thumb; one travelling marker per tab bar (box for panel tabs, pill for module tabs, underline for profile tabs).</t>
  </si>
  <si>
    <t>Apple HIG segmented control; Material 3 / Radix animated tabs</t>
  </si>
  <si>
    <t>Clear, tactile switching between related views.</t>
  </si>
  <si>
    <t>Employees, Timesheets, Leave Balance, Profile, forms</t>
  </si>
  <si>
    <t>Stepper</t>
  </si>
  <si>
    <t>.stepper, .ea-stepper, .ci-stepper, .aicj-bar</t>
  </si>
  <si>
    <t>Numbered circles that turn into checks, joined by lines; backward-only clicking in the employee wizard; labels drop on mobile.</t>
  </si>
  <si>
    <t>Ant Design Steps / Material stepper</t>
  </si>
  <si>
    <t>Long legal / HR forms broken into reviewable chunks.</t>
  </si>
  <si>
    <t>Contract wizards, intakes, employee wizard, AI journey</t>
  </si>
  <si>
    <t>Dashboard KPI tiles</t>
  </si>
  <si>
    <t>.hr-stat-grid, .hr-stat-card (.is-link / .is-static / .is-alert)</t>
  </si>
  <si>
    <t>One 12-col grid, every tile spans 3, equal heights; only tiles with a backing listing are clickable doors (lift on hover); numbers synced from data; one red alert tile.</t>
  </si>
  <si>
    <t>Stripe Home / Rippling dashboard tiles</t>
  </si>
  <si>
    <t>Tiles are trustworthy (number = what the click shows) and comparable.</t>
  </si>
  <si>
    <t>All 10 dashboards</t>
  </si>
  <si>
    <t>Empty states</t>
  </si>
  <si>
    <t>.lp-isb-empty, .att-zone-lg/-sm, .workspace-empty, .m-skeleton</t>
  </si>
  <si>
    <t>Every empty state gives the next action; attachments empty state is the drop zone itself; skeleton shimmer while loading.</t>
  </si>
  <si>
    <t>Linear / Dropbox empty states</t>
  </si>
  <si>
    <t>No dead ends — users always know what to do next.</t>
  </si>
  <si>
    <t>Toasts &amp; row flash</t>
  </si>
  <si>
    <t>#toast-stack, showToast, tr.m-flash-*</t>
  </si>
  <si>
    <t>Top-right stack (max 4, 3.4s), tinted icon circle; inline row changes flash the row instead.</t>
  </si>
  <si>
    <t>Carbon / react-hot-toast notifications</t>
  </si>
  <si>
    <t>Feedback that confirms without blocking work.</t>
  </si>
  <si>
    <t>Motion system</t>
  </si>
  <si>
    <t>motion.css</t>
  </si>
  <si>
    <t>Four durations (110 / 170 / 260 / 380ms), three curves (out, in-out, spring for confirmations only); slides ≤ 10px; exits ~0.7× entrances; stagger cap 10; fill-mode backwards; reduced-motion kill switch; in-place repaints do not replay entrances.</t>
  </si>
  <si>
    <t>Material 3 motion tokens + Apple HIG springs</t>
  </si>
  <si>
    <t>Motion explains change without slowing frequent work.</t>
  </si>
  <si>
    <t>Surgical repaint</t>
  </si>
  <si>
    <t>renderer.js (patchDom, canPatchPage)</t>
  </si>
  <si>
    <t>Pages are rebuilt off-screen and diffed into the live DOM with isEqualNode, so filters keep scroll, focus and typed text.</t>
  </si>
  <si>
    <t>morphdom / Turbo morph / Phoenix LiveView patching</t>
  </si>
  <si>
    <t>Filtering feels instant and never loses the user's place.</t>
  </si>
  <si>
    <t>Responsive</t>
  </si>
  <si>
    <t>responsive.css</t>
  </si>
  <si>
    <t>Three steps: 1024 (rail auto-folds, tables scroll inside card, panel 88%), 640 (16px gutters, full-width panels, menus and toasts), filter bar &amp; tiles wrap at 440px basis.</t>
  </si>
  <si>
    <t>Tailwind breakpoints approach</t>
  </si>
  <si>
    <t>"Each a real step down rather than a device" — layouts degrade predictably.</t>
  </si>
  <si>
    <t>Design Tokens (css/main.css, css/buttons.css, css/motion.css)</t>
  </si>
  <si>
    <t>Values as defined in the :root blocks. Swatch shows the background / main colour.</t>
  </si>
  <si>
    <t>Group</t>
  </si>
  <si>
    <t>Token</t>
  </si>
  <si>
    <t>Value</t>
  </si>
  <si>
    <t>Swatch</t>
  </si>
  <si>
    <t>Used for</t>
  </si>
  <si>
    <t>Core colour</t>
  </si>
  <si>
    <t>--orange (primary ink)</t>
  </si>
  <si>
    <t>#1a1a1a</t>
  </si>
  <si>
    <t/>
  </si>
  <si>
    <t>Primary brand ink — active states, primary buttons, rails. Name is legacy; no orange remains in the UI.</t>
  </si>
  <si>
    <t>--navy</t>
  </si>
  <si>
    <t>#0f172a</t>
  </si>
  <si>
    <t>Primary text</t>
  </si>
  <si>
    <t>--gray</t>
  </si>
  <si>
    <t>#6a7282</t>
  </si>
  <si>
    <t>Secondary text, table heads</t>
  </si>
  <si>
    <t>--light</t>
  </si>
  <si>
    <t>#f8f9fb</t>
  </si>
  <si>
    <t>Page canvas</t>
  </si>
  <si>
    <t>--card</t>
  </si>
  <si>
    <t>#ffffff</t>
  </si>
  <si>
    <t>Cards, panels, modals</t>
  </si>
  <si>
    <t>--border</t>
  </si>
  <si>
    <t>#e5e7eb</t>
  </si>
  <si>
    <t>Hairlines, card borders, button strokes</t>
  </si>
  <si>
    <t>--ol</t>
  </si>
  <si>
    <t>#f1f5f9</t>
  </si>
  <si>
    <t>Neutral chip / selected fill</t>
  </si>
  <si>
    <t>--red</t>
  </si>
  <si>
    <t>#ef4444</t>
  </si>
  <si>
    <t>Required asterisk, error</t>
  </si>
  <si>
    <t>--btn-ink</t>
  </si>
  <si>
    <t>#353535</t>
  </si>
  <si>
    <t>Primary button fill, outline label</t>
  </si>
  <si>
    <t>--btn-solid-hover</t>
  </si>
  <si>
    <t>#000000</t>
  </si>
  <si>
    <t>Primary hover</t>
  </si>
  <si>
    <t>Status</t>
  </si>
  <si>
    <t>--st-ok (bg / fg / bd)</t>
  </si>
  <si>
    <t>#dcfce7 / #16a34a / #86efac</t>
  </si>
  <si>
    <t>Active, Approved, Paid, Connected</t>
  </si>
  <si>
    <t>--st-wait</t>
  </si>
  <si>
    <t>#fef3c7 / #92400e / #fde68a</t>
  </si>
  <si>
    <t>Pending, waiting — never "bad"</t>
  </si>
  <si>
    <t>--st-bad</t>
  </si>
  <si>
    <t>#fee2e2 / #dc2626 / #fca5a5</t>
  </si>
  <si>
    <t>Rejected, Blocked, Revoked, Payroll Blockers</t>
  </si>
  <si>
    <t>--st-info</t>
  </si>
  <si>
    <t>#eff6ff / #2563eb / #93c5fd</t>
  </si>
  <si>
    <t>In progress, informational</t>
  </si>
  <si>
    <t>--st-idle</t>
  </si>
  <si>
    <t>#f1f5f9 / #64748b / #cbd5e1</t>
  </si>
  <si>
    <t>Inactive, Closed, Draft</t>
  </si>
  <si>
    <t>Pipeline</t>
  </si>
  <si>
    <t>--st-p1 Submitted</t>
  </si>
  <si>
    <t>#cffafe / #0e7490</t>
  </si>
  <si>
    <t>Contract stage 1</t>
  </si>
  <si>
    <t>--st-p2 Quotation Approved</t>
  </si>
  <si>
    <t>#ccfbf1 / #0f766e</t>
  </si>
  <si>
    <t>Contract stage 2</t>
  </si>
  <si>
    <t>--st-p3 Proposal Sent</t>
  </si>
  <si>
    <t>#dbeafe / #1d4ed8</t>
  </si>
  <si>
    <t>Contract stage 3</t>
  </si>
  <si>
    <t>--st-p4 Proposal Approved</t>
  </si>
  <si>
    <t>#d9f99d / #3f6212</t>
  </si>
  <si>
    <t>Contract stage 4</t>
  </si>
  <si>
    <t>--st-p5 Contract Sent</t>
  </si>
  <si>
    <t>#ede9fe / #6d28d9</t>
  </si>
  <si>
    <t>Contract stage 5</t>
  </si>
  <si>
    <t>--st-p6 Contract Approved</t>
  </si>
  <si>
    <t>= --st-ok</t>
  </si>
  <si>
    <t>Contract stage 6</t>
  </si>
  <si>
    <t>--st-p7 Onboarding</t>
  </si>
  <si>
    <t>= --st-wait (amber)</t>
  </si>
  <si>
    <t>Contract stage 7</t>
  </si>
  <si>
    <t>--st-p8 Ready for Payroll</t>
  </si>
  <si>
    <t>#bbf7d0 / #14532d</t>
  </si>
  <si>
    <t>Contract stage 8</t>
  </si>
  <si>
    <t>Selection</t>
  </si>
  <si>
    <t>--row-hover / --row-sel / --row-sel-hover</t>
  </si>
  <si>
    <t>#fafbfc / #f1f3f5 / #e7eaee</t>
  </si>
  <si>
    <t>Table hover and selected row ("GREY, NOT BLUE") + 3px ink rail</t>
  </si>
  <si>
    <t>Font family</t>
  </si>
  <si>
    <t>Inter (self-hosted 400–800)</t>
  </si>
  <si>
    <t>Everything</t>
  </si>
  <si>
    <t>Type scale</t>
  </si>
  <si>
    <t>22.5 / 18 / 15 / 13 / 12 / 11 / 10 px</t>
  </si>
  <si>
    <t>Metric, H1, H2, title, body, label/caption, micro</t>
  </si>
  <si>
    <t>Shape</t>
  </si>
  <si>
    <t>--r-status / --r-control / --r-input / --r-card</t>
  </si>
  <si>
    <t>999px / 8px / 999px / 14px</t>
  </si>
  <si>
    <t>Pills (read-only) / actionable controls / single-line inputs / cards; modal 16px</t>
  </si>
  <si>
    <t>Sizing</t>
  </si>
  <si>
    <t>Controls</t>
  </si>
  <si>
    <t>Buttons 28 / 34 / 40px; form fields 42px; filter controls 34px; top bar 56px; rows ~48px</t>
  </si>
  <si>
    <t>Consistent hit areas</t>
  </si>
  <si>
    <t>Spacing</t>
  </si>
  <si>
    <t>--pg-gutter</t>
  </si>
  <si>
    <t>32px → 24px (≤1024) → 16px (≤640)</t>
  </si>
  <si>
    <t>Page side gutters</t>
  </si>
  <si>
    <t>Motion</t>
  </si>
  <si>
    <t>--t-micro / --t-fast / --t-base / --t-slow</t>
  </si>
  <si>
    <t>110 / 170 / 260 / 380 ms</t>
  </si>
  <si>
    <t>Hover / press / standard / panels &amp; modals</t>
  </si>
  <si>
    <t>--e-out / --e-in-out / --e-spring</t>
  </si>
  <si>
    <t>cubic-bezier(.22,1,.36,1) / (.65,0,.35,1) / (.34,1.4,.64,1)</t>
  </si>
  <si>
    <t>Entrances / moves / confirmations only</t>
  </si>
  <si>
    <t>Reference Index — where the designs come from</t>
  </si>
  <si>
    <t>Count column is a live COUNTIF over the "Design reference" column of the Page Design Map.</t>
  </si>
  <si>
    <t>Reference product / system</t>
  </si>
  <si>
    <t>Category</t>
  </si>
  <si>
    <t>What ADT borrows from it</t>
  </si>
  <si>
    <t>No. of pages citing it</t>
  </si>
  <si>
    <t>Pages that draw on it</t>
  </si>
  <si>
    <t>Deel</t>
  </si>
  <si>
    <t>Global EOR platform</t>
  </si>
  <si>
    <t>Product picker, global People view, Compliance Hub, cost calculator, contractor invoicing, onboarding progress, entity picker</t>
  </si>
  <si>
    <t xml:space="preserve">1. Top Bar (title, page "+", role switcher, search, bell, entity, user menu)
2. Sidebar Navigation (grouped rail)
8. Dashboard shell — role tabs &amp; shared widget system
12. Onboarding / Offboarding Tracker (employee)
15. Opendhi Super Admin Dashboard
16. OpenDhi Finance Admin Dashboard
21. Entity Owner Dashboard
23. Employees — Global Employee listing
26. Create New Employee wizard (4 steps)
28. Contracts Landing — type chooser
30. Contract Detail Panel + Status-move modal
31. Create a Contract — type chooser
32. EOR / PEO Contract wizard (3 steps)
33. Immigration Intake (3 steps)
34. Contractor Intake (3 steps)
35. Cost Calculator
60. Payroll — Pay Runs
62. Payments (Invoices)
63. Compliance Item (requirement catalogue)
64. Rates &amp; Rules
65. Company Settings — listing + entity panel
72. Company Settings — Banking, Company Structure, Payroll tabs
82. AI Journey Run (guided live run)</t>
  </si>
  <si>
    <t>Remote.com</t>
  </si>
  <si>
    <t>Add-worker wizards, country views, cost calculator, worker onboarding</t>
  </si>
  <si>
    <t xml:space="preserve">12. Onboarding / Offboarding Tracker (employee)
15. Opendhi Super Admin Dashboard
23. Employees — Global Employee listing
26. Create New Employee wizard (4 steps)
28. Contracts Landing — type chooser
31. Create a Contract — type chooser
32. EOR / PEO Contract wizard (3 steps)
35. Cost Calculator
60. Payroll — Pay Runs</t>
  </si>
  <si>
    <t>Rippling</t>
  </si>
  <si>
    <t>HR / IT platform</t>
  </si>
  <si>
    <t>Sidebar IA, employee profile &amp; record views, hire flow, role-permission preview, pay-run summary, app/access management</t>
  </si>
  <si>
    <t xml:space="preserve">2. Sidebar Navigation (grouped rail)
8. Dashboard shell — role tabs &amp; shared widget system
12. Onboarding / Offboarding Tracker (employee)
22. Employees — Direct Employee listing
24. Employee Detail Panel
25. Employee Lifecycle — Logs tab &amp; Add Log popup (onboarding / offboarding)
26. Create New Employee wizard (4 steps)
30. Contract Detail Panel + Status-move modal
39. AI journey — Employee / Proposal created, Waiting for approval
46. My Timesheet — month calendar ("soft tiles")
60. Payroll — Pay Runs
65. Company Settings — listing + entity panel
72. Company Settings — Banking, Company Structure, Payroll tabs
75. IT Accesses
82. AI Journey Run (guided live run)</t>
  </si>
  <si>
    <t>Keka</t>
  </si>
  <si>
    <t>Indian HRMS</t>
  </si>
  <si>
    <t>Attendance calendar, web clock-in, attendance requests, leave policies, team attendance, HR letters</t>
  </si>
  <si>
    <t xml:space="preserve">6. My Profile
9. Employee Dashboard
10. Attendance Clock-In / Clock-Out widget
13. HR Dashboard
14. Reporting Manager (Team) Dashboard
22. Employees — Direct Employee listing
24. Employee Detail Panel
27. Teams listing + Create Team
41. HR Docs — landing catalogue
46. My Timesheet — month calendar ("soft tiles")
47. Timesheet Day panel + Manual entry
48. Attendance Request (claim on Weekly Off / Holiday)
49. Timesheet Export drawer
50. All Timesheet listing
51. Employee Timesheet view (read-only calendar)
52. Leave Requests
53. Apply Application (employee self-service)
55. Leave Balance — All balances
56. Leave Policies
59. View Optional Holidays (calendar overlay)
70. Company Settings — Leaves tab
71. Company Settings — Attendance tab (shift, grace, geofence)</t>
  </si>
  <si>
    <t>greytHR</t>
  </si>
  <si>
    <t>Leave apply form (On Duty, Comp Off), regularisation, restricted holidays, leave balance ledger, payheads</t>
  </si>
  <si>
    <t xml:space="preserve">6. My Profile
9. Employee Dashboard
10. Attendance Clock-In / Clock-Out widget
24. Employee Detail Panel
41. HR Docs — landing catalogue
46. My Timesheet — month calendar ("soft tiles")
47. Timesheet Day panel + Manual entry
48. Attendance Request (claim on Weekly Off / Holiday)
53. Apply Application (employee self-service)
54. Leave Balance — My balance
56. Leave Policies
59. View Optional Holidays (calendar overlay)
61. Payheads
70. Company Settings — Leaves tab</t>
  </si>
  <si>
    <t>Darwinbox</t>
  </si>
  <si>
    <t>Listing vocabulary (SR. NO, Select Filter), approval timeline, branch scoping, HR admin home</t>
  </si>
  <si>
    <t xml:space="preserve">9. Employee Dashboard
13. HR Dashboard
22. Employees — Direct Employee listing
27. Teams listing + Create Team
41. HR Docs — landing catalogue
52. Leave Requests
58. Holidays
71. Company Settings — Attendance tab (shift, grace, geofence)
72. Company Settings — Banking, Company Structure, Payroll tabs</t>
  </si>
  <si>
    <t>Zoho</t>
  </si>
  <si>
    <t>Indian HRMS / payroll</t>
  </si>
  <si>
    <t>Timesheet &amp; leave listings, holiday lists, payroll components, inline master-data adds</t>
  </si>
  <si>
    <t xml:space="preserve">27. Teams listing + Create Team
50. All Timesheet listing
52. Leave Requests
54. Leave Balance — My balance
55. Leave Balance — All balances
58. Holidays
61. Payheads
72. Company Settings — Banking, Company Structure, Payroll tabs</t>
  </si>
  <si>
    <t>BambooHR</t>
  </si>
  <si>
    <t>HRIS</t>
  </si>
  <si>
    <t>Announcements feed, Who's out / celebrations, onboarding checklists, team masters</t>
  </si>
  <si>
    <t xml:space="preserve">9. Employee Dashboard
11. Announcements panel + reading drawer
13. HR Dashboard
25. Employee Lifecycle — Logs tab &amp; Add Log popup (onboarding / offboarding)
27. Teams listing + Create Team
58. Holidays</t>
  </si>
  <si>
    <t>Workday</t>
  </si>
  <si>
    <t>Enterprise HCM</t>
  </si>
  <si>
    <t>Manager self-service, onboarding journeys, payroll wage-type rules</t>
  </si>
  <si>
    <t xml:space="preserve">12. Onboarding / Offboarding Tracker (employee)
14. Reporting Manager (Team) Dashboard
25. Employee Lifecycle — Logs tab &amp; Add Log popup (onboarding / offboarding)
64. Rates &amp; Rules</t>
  </si>
  <si>
    <t>Gusto</t>
  </si>
  <si>
    <t>SMB payroll / HR</t>
  </si>
  <si>
    <t>Pay-run summary, onboarding &amp; document checklists</t>
  </si>
  <si>
    <t xml:space="preserve">6. My Profile
12. Onboarding / Offboarding Tracker (employee)
60. Payroll — Pay Runs</t>
  </si>
  <si>
    <t>HiBob</t>
  </si>
  <si>
    <t>People directory and side sheet</t>
  </si>
  <si>
    <t xml:space="preserve">22. Employees — Direct Employee listing
24. Employee Detail Panel</t>
  </si>
  <si>
    <t>Stripe</t>
  </si>
  <si>
    <t>Fintech dashboard</t>
  </si>
  <si>
    <t>Header, KPI tiles, setup guide, full-page forms, billing look, integration settings, account switcher</t>
  </si>
  <si>
    <t xml:space="preserve">1. Top Bar (title, page "+", role switcher, search, bell, entity, user menu)
5. Entity Switcher + Switch Entity page
8. Dashboard shell — role tabs &amp; shared widget system
16. OpenDhi Finance Admin Dashboard
17. Finance Admin (Basic) Dashboard
20. Opendhi Ops Admin Dashboard
21. Entity Owner Dashboard
28. Contracts Landing — type chooser
33. Immigration Intake (3 steps)
35. Cost Calculator
57. Edit Leave Policy
62. Payments (Invoices)
64. Rates &amp; Rules
67. Company Settings — E-Sign (DocuSeal) settings tab</t>
  </si>
  <si>
    <t>Linear</t>
  </si>
  <si>
    <t>Product tooling</t>
  </si>
  <si>
    <t>Command palette, list + peek panel, status menus, restraint &amp; motion, empty states</t>
  </si>
  <si>
    <t xml:space="preserve">1. Top Bar (title, page "+", role switcher, search, bell, entity, user menu)
3. Global Search / Command Palette (Ctrl+K)
4. Notifications Popover
11. Announcements panel + reading drawer
19. Opendhi Compliance Admin Dashboard (document review queue)
22. Employees — Direct Employee listing
25. Employee Lifecycle — Logs tab &amp; Add Log popup (onboarding / offboarding)
29. Contracts Listing — pipeline table
30. Contract Detail Panel + Status-move modal
77. Tickets</t>
  </si>
  <si>
    <t>Jira</t>
  </si>
  <si>
    <t>Workflow / ITSM</t>
  </si>
  <si>
    <t>Transition screen with comment, owner-gated workflow, field history, notification panel, assets</t>
  </si>
  <si>
    <t xml:space="preserve">4. Notifications Popover
19. Opendhi Compliance Admin Dashboard (document review queue)
22. Employees — Direct Employee listing
25. Employee Lifecycle — Logs tab &amp; Add Log popup (onboarding / offboarding)
30. Contract Detail Panel + Status-move modal
74. Assets (asset allocation)
77. Tickets</t>
  </si>
  <si>
    <t>Atlassian</t>
  </si>
  <si>
    <t>Design system</t>
  </si>
  <si>
    <t>Side navigation mechanics, lozenge status tones, notification panel</t>
  </si>
  <si>
    <t xml:space="preserve">2. Sidebar Navigation (grouped rail)
4. Notifications Popover</t>
  </si>
  <si>
    <t>Salesforce</t>
  </si>
  <si>
    <t>CRM</t>
  </si>
  <si>
    <t>Record tabs, deal pipeline, "Log in as", Agentforce</t>
  </si>
  <si>
    <t xml:space="preserve">1. Top Bar (title, page "+", role switcher, search, bell, entity, user menu)
20. Opendhi Ops Admin Dashboard
29. Contracts Listing — pipeline table
65. Company Settings — listing + entity panel
87. AI Agents</t>
  </si>
  <si>
    <t>HubSpot</t>
  </si>
  <si>
    <t>Deal-stage pipeline table</t>
  </si>
  <si>
    <t xml:space="preserve">20. Opendhi Ops Admin Dashboard
29. Contracts Listing — pipeline table</t>
  </si>
  <si>
    <t>Zendesk</t>
  </si>
  <si>
    <t>Support desk</t>
  </si>
  <si>
    <t>Ticket statuses, Unassigned view, agent home</t>
  </si>
  <si>
    <t xml:space="preserve">18. CSM Support Dashboard
77. Tickets</t>
  </si>
  <si>
    <t>Freshdesk</t>
  </si>
  <si>
    <t>Ticket queue counters, channel-agnostic queue</t>
  </si>
  <si>
    <t>77. Tickets</t>
  </si>
  <si>
    <t>Intercom</t>
  </si>
  <si>
    <t>Support / messaging</t>
  </si>
  <si>
    <t>Conversation states, chat-borne tickets with AI summary, side-peek drawer</t>
  </si>
  <si>
    <t xml:space="preserve">11. Announcements panel + reading drawer
18. CSM Support Dashboard
76. Chats
77. Tickets</t>
  </si>
  <si>
    <t>DocuSign</t>
  </si>
  <si>
    <t>E-signature</t>
  </si>
  <si>
    <t>Envelope tracking, template library, merge fields, review viewer</t>
  </si>
  <si>
    <t xml:space="preserve">19. Opendhi Compliance Admin Dashboard (document review queue)
36. Contract Templates
40. AI journey — Contract document, Onboarding run, Journey complete
43. HR Docs — Create / Preview / Final letter flow
66. Company Settings — Attachments (MSA / NDA generation)
67. Company Settings — E-Sign (DocuSeal) settings tab
68. E-Sign — Send for signature &amp; tracking</t>
  </si>
  <si>
    <t>PandaDoc</t>
  </si>
  <si>
    <t>Document automation</t>
  </si>
  <si>
    <t>Generate-from-template, live preview, template library</t>
  </si>
  <si>
    <t xml:space="preserve">36. Contract Templates
40. AI journey — Contract document, Onboarding run, Journey complete
43. HR Docs — Create / Preview / Final letter flow
44. HR Docs — Template editor (currently switched off)
66. Company Settings — Attachments (MSA / NDA generation)
68. E-Sign — Send for signature &amp; tracking</t>
  </si>
  <si>
    <t>Vanta</t>
  </si>
  <si>
    <t>Compliance automation</t>
  </si>
  <si>
    <t>Control library and evidence review</t>
  </si>
  <si>
    <t xml:space="preserve">19. Opendhi Compliance Admin Dashboard (document review queue)
63. Compliance Item (requirement catalogue)</t>
  </si>
  <si>
    <t>Drata</t>
  </si>
  <si>
    <t>Evidence review queue</t>
  </si>
  <si>
    <t>19. Opendhi Compliance Admin Dashboard (document review queue)</t>
  </si>
  <si>
    <t>Okta</t>
  </si>
  <si>
    <t>Identity / access</t>
  </si>
  <si>
    <t>User directory, role assignment, access reviews</t>
  </si>
  <si>
    <t xml:space="preserve">69. Company Settings — Roles &amp; Access tab
73. Users
75. IT Accesses</t>
  </si>
  <si>
    <t>ChatGPT</t>
  </si>
  <si>
    <t>AI assistant</t>
  </si>
  <si>
    <t>New-chat empty state, Canvas split (chat + workspace)</t>
  </si>
  <si>
    <t xml:space="preserve">7. Agent Mode (AI assistant — empty &amp; active)
37. AI Contract Assistant (journey start)
38. AI-assisted Contract review (chat + pre-filled form)</t>
  </si>
  <si>
    <t>Copilot</t>
  </si>
  <si>
    <t>Side-pane assistant, Copilot Studio agent catalogue</t>
  </si>
  <si>
    <t xml:space="preserve">37. AI Contract Assistant (journey start)
38. AI-assisted Contract review (chat + pre-filled form)
82. AI Journey Run (guided live run)
87. AI Agents</t>
  </si>
  <si>
    <t>Zapier</t>
  </si>
  <si>
    <t>Automation</t>
  </si>
  <si>
    <t>Journey catalogue, setup wizard, task history</t>
  </si>
  <si>
    <t xml:space="preserve">37. AI Contract Assistant (journey start)
78. AI Executive — journey catalogue
80. Automate Journey wizard
81. Active Automation + Run Detail</t>
  </si>
  <si>
    <t>UiPath</t>
  </si>
  <si>
    <t>Automation / RPA</t>
  </si>
  <si>
    <t>Human-in-the-loop action centre, recipe view</t>
  </si>
  <si>
    <t xml:space="preserve">38. AI-assisted Contract review (chat + pre-filled form)
39. AI journey — Employee / Proposal created, Waiting for approval
79. AI Journey Detail
86. Context &amp; Journey + Journey detail</t>
  </si>
  <si>
    <t>Segment</t>
  </si>
  <si>
    <t>Data integration</t>
  </si>
  <si>
    <t>Workspace overview, sources, unified data models</t>
  </si>
  <si>
    <t xml:space="preserve">67. Company Settings — E-Sign (DocuSeal) settings tab
83. Configure — Overview
84. Systems + System detail / Add system
85. Data Foundation + Model detail / Add model</t>
  </si>
  <si>
    <t>Google</t>
  </si>
  <si>
    <t>Productivity</t>
  </si>
  <si>
    <t>Calendar month grid, Docs page preview, Account profile, Admin directory</t>
  </si>
  <si>
    <t xml:space="preserve">6. My Profile
24. Employee Detail Panel
42. HR Docs — letter type screen
43. HR Docs — Create / Preview / Final letter flow
46. My Timesheet — month calendar ("soft tiles")
47. Timesheet Day panel + Manual entry
59. View Optional Holidays (calendar overlay)
69. Company Settings — Roles &amp; Access tab
73. Users</t>
  </si>
  <si>
    <t>Notion</t>
  </si>
  <si>
    <t>Template gallery, side-peek, multi-select combobox, calendar styling</t>
  </si>
  <si>
    <t xml:space="preserve">5. Entity Switcher + Switch Entity page
11. Announcements panel + reading drawer
25. Employee Lifecycle — Logs tab &amp; Add Log popup (onboarding / offboarding)
41. HR Docs — landing catalogue
42. HR Docs — letter type screen
46. My Timesheet — month calendar ("soft tiles")</t>
  </si>
  <si>
    <t>Clockify</t>
  </si>
  <si>
    <t>Time tracking</t>
  </si>
  <si>
    <t>Weekly approval, report export</t>
  </si>
  <si>
    <t xml:space="preserve">46. My Timesheet — month calendar ("soft tiles")
49. Timesheet Export drawer</t>
  </si>
  <si>
    <t>Harvest</t>
  </si>
  <si>
    <t>Week total &amp; "submit week for approval"</t>
  </si>
  <si>
    <t xml:space="preserve">46. My Timesheet — month calendar ("soft tiles")
51. Employee Timesheet view (read-only calendar)</t>
  </si>
  <si>
    <t>Apple</t>
  </si>
  <si>
    <t>Design system (HIG)</t>
  </si>
  <si>
    <t>Segmented controls, spring feedback, clock animation</t>
  </si>
  <si>
    <t xml:space="preserve">10. Attendance Clock-In / Clock-Out widget
45. Timesheets module (My / All tabs)
88. Log Demo (motion spec)</t>
  </si>
  <si>
    <t>Material 3</t>
  </si>
  <si>
    <t>Motion tokens, stepper, filter chips, shape tokens</t>
  </si>
  <si>
    <t xml:space="preserve">26. Create New Employee wizard (4 steps)
80. Automate Journey wizard
88. Log Demo (motion spec)</t>
  </si>
  <si>
    <t>Polaris</t>
  </si>
  <si>
    <t>Design system (Shopify)</t>
  </si>
  <si>
    <t>Badge tones, choice lists, setup checklist, full-page forms</t>
  </si>
  <si>
    <t xml:space="preserve">8. Dashboard shell — role tabs &amp; shared widget system
21. Entity Owner Dashboard
26. Create New Employee wizard (4 steps)
57. Edit Leave Policy</t>
  </si>
  <si>
    <t>Observations &amp; Follow-ups</t>
  </si>
  <si>
    <t>Inconsistencies found while analysing the project against its own standardised design rules. None were changed — this sheet is for review.</t>
  </si>
  <si>
    <t>Observation</t>
  </si>
  <si>
    <t>Where</t>
  </si>
  <si>
    <t>Impact</t>
  </si>
  <si>
    <t>Suggested follow-up</t>
  </si>
  <si>
    <t>AI Executive and Configure (cfg-*) pages have no sidebar entry; reachable only from inside AI flows.</t>
  </si>
  <si>
    <t>js/core.js sidebarItems; js/pages.js ~8758–11160</t>
  </si>
  <si>
    <t>Twenty built pages are effectively hidden; the animated .sb-item-ai rail style is unused.</t>
  </si>
  <si>
    <t>Decide whether to re-link them (e.g. a Governance or Overview entry) or mark them as parked.</t>
  </si>
  <si>
    <t>AI / cfg pages use the older .stat-card / .listing-table system with inline styles instead of hr-stat / lp-* components.</t>
  </si>
  <si>
    <t>js/pages.js AI &amp; cfg builders</t>
  </si>
  <si>
    <t>They look like a different product next to the standard listing shell.</t>
  </si>
  <si>
    <t>Migrate to .hr-stat-card tiles and the lp-* listing when they are re-linked.</t>
  </si>
  <si>
    <t>"Finance" sidebar dropdown holds only one page (Payments).</t>
  </si>
  <si>
    <t>js/core.js sidebarItems</t>
  </si>
  <si>
    <t>Breaks the stated rule "a dropdown only if it holds more than one page".</t>
  </si>
  <si>
    <t>Make Payments a direct item, or move it under Payroll Management.</t>
  </si>
  <si>
    <t>Sidebar items carry a colour field that is never rendered.</t>
  </si>
  <si>
    <t>js/core.js sidebarItems (color:)</t>
  </si>
  <si>
    <t>Dead config; misleading to future editors.</t>
  </si>
  <si>
    <t>Remove the field or document it as reserved.</t>
  </si>
  <si>
    <t>Token names say --orange but hold #1a1a1a (and legacy orange class names remain).</t>
  </si>
  <si>
    <t>css/main.css :root</t>
  </si>
  <si>
    <t>Confusing for new developers reading the CSS.</t>
  </si>
  <si>
    <t>Alias to --ink and keep --orange as a deprecated alias.</t>
  </si>
  <si>
    <t>Chats is a listing with a state-machine panel, not a live inbox; the only bubble thread lives in Ticket → Conversation.</t>
  </si>
  <si>
    <t>js/pages.js buildChatsPageHTML</t>
  </si>
  <si>
    <t>If a real-time chat inbox is the product goal, this page does not provide it yet.</t>
  </si>
  <si>
    <t>Confirm intent; if needed add a thread pane modelled on the Ticket Conversation tab.</t>
  </si>
  <si>
    <t>ctxMap (per-page agent context lines) is defined but never used.</t>
  </si>
  <si>
    <t>js/core.js ctxMap</t>
  </si>
  <si>
    <t>Dead code.</t>
  </si>
  <si>
    <t>Wire it into Agent Mode or remove it.</t>
  </si>
  <si>
    <t>Stale comments: employee statuses described as "twelve" / "eight rungs" but the code now has four.</t>
  </si>
  <si>
    <t>js/pages.js ~330, ~368; js/employee-lifecycle.js EMP_STATUSES</t>
  </si>
  <si>
    <t>Misleads anyone using comments as the spec.</t>
  </si>
  <si>
    <t>Update the comments to the four-status + logs model.</t>
  </si>
  <si>
    <t>Announcements comment says "no colour per person" but code still computes a per-name tone.</t>
  </si>
  <si>
    <t>js/announcements.js</t>
  </si>
  <si>
    <t>Small rule/code mismatch.</t>
  </si>
  <si>
    <t>Drop the tone computation or adjust the comment.</t>
  </si>
  <si>
    <t>quick-actions.js / .css now hold the ticket-move confirm and pinned action column, not dashboard quick actions.</t>
  </si>
  <si>
    <t>js/quick-actions.js, css/quick-actions.css</t>
  </si>
  <si>
    <t>File names no longer describe their content.</t>
  </si>
  <si>
    <t>Rename (e.g. row-actions.js) when convenient.</t>
  </si>
  <si>
    <t>Entity Setup Progress panel and pipeline cards still use inline styles; .setup-* and .pipeline-card CSS is unused.</t>
  </si>
  <si>
    <t>index.html entity-owner &amp; ops views; css</t>
  </si>
  <si>
    <t>Dead CSS and off-system markup.</t>
  </si>
  <si>
    <t>Move the panel onto classes and delete the unused rules.</t>
  </si>
  <si>
    <t>Two detail-header designs remain in CSS (.lp-sb-action-row in use, .lp-sb-record unrendered); .sb-hero is what renders.</t>
  </si>
  <si>
    <t>css/leaves.css ~120–145</t>
  </si>
  <si>
    <t>Dead CSS.</t>
  </si>
  <si>
    <t>Remove the unused variant.</t>
  </si>
  <si>
    <t>A few off-token colours: info toast indigo #4f46e5, hard-coded error toast bg, .np-pending 4px radius (breaks pill rule).</t>
  </si>
  <si>
    <t>css/main.css</t>
  </si>
  <si>
    <t>Minor drift from the token system.</t>
  </si>
  <si>
    <t>Map them to --st-info / --st-bad and --r-status.</t>
  </si>
  <si>
    <t>Attendance-settings header comment still describes switches in section headers that were later removed.</t>
  </si>
  <si>
    <t>js/attendance-settings.js ~6 vs ~580</t>
  </si>
  <si>
    <t>Contradictory comments.</t>
  </si>
  <si>
    <t>Update the header comment.</t>
  </si>
  <si>
    <t>HR Docs JS comment describes per-group colour tones that CSS has since neutralised.</t>
  </si>
  <si>
    <t>js/hr-docs.js ~508; css/hr-docs.css ~48</t>
  </si>
  <si>
    <t>Update the JS comment.</t>
  </si>
  <si>
    <t>Dashboard role views are switched by demo tabs, independent of the "Logged in as" role switcher.</t>
  </si>
  <si>
    <t>index.html dashboard tabs; js/core.js setAppRole</t>
  </si>
  <si>
    <t>In a demo, switching role does not change the dashboard shown.</t>
  </si>
  <si>
    <t>Optionally map setAppRole to the matching dashboard tab.</t>
  </si>
  <si>
    <t>Timesheet month grid uses the reversible "soft tiles" override.</t>
  </si>
  <si>
    <t>css/timesheet-calendar.css</t>
  </si>
  <si>
    <t>Intentional experiment; original design preserved.</t>
  </si>
  <si>
    <t>Remove the timesheet-calendar.css &lt;link&gt; in index.html to revert.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</si>
</sst>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A1A1A"/>
      <sz val="15"/>
      <name val="Arial"/>
    </font>
    <font>
      <i/>
      <color rgb="FF6A7282"/>
      <sz val="9.5"/>
      <name val="Arial"/>
    </font>
    <font>
      <b/>
      <color rgb="FF0F172A"/>
      <sz val="9.5"/>
      <name val="Arial"/>
    </font>
    <font>
      <color rgb="FF0F172A"/>
      <sz val="9.5"/>
      <name val="Arial"/>
    </font>
    <font>
      <b/>
      <color rgb="FFFFFFFF"/>
      <sz val="10"/>
      <name val="Arial"/>
    </font>
  </fonts>
  <fills count="23">
    <fill>
      <patternFill patternType="none"/>
    </fill>
    <fill>
      <patternFill patternType="gray125"/>
    </fill>
    <fill>
      <patternFill patternType="solid">
        <fgColor rgb="FFF8F9FB"/>
      </patternFill>
    </fill>
    <fill>
      <patternFill patternType="solid">
        <fgColor rgb="FF1A1A1A"/>
      </patternFill>
    </fill>
    <fill>
      <patternFill patternType="solid">
        <fgColor rgb="FFF1F5F9"/>
      </patternFill>
    </fill>
    <fill>
      <patternFill patternType="solid">
        <fgColor rgb="FFEFF6FF"/>
      </patternFill>
    </fill>
    <fill>
      <patternFill patternType="solid">
        <fgColor rgb="FFDCFCE7"/>
      </patternFill>
    </fill>
    <fill>
      <patternFill patternType="solid">
        <fgColor rgb="FFFEF3C7"/>
      </patternFill>
    </fill>
    <fill>
      <patternFill patternType="solid">
        <fgColor rgb="FFEDE9FE"/>
      </patternFill>
    </fill>
    <fill>
      <patternFill patternType="solid">
        <fgColor rgb="FFCFFAFE"/>
      </patternFill>
    </fill>
    <fill>
      <patternFill patternType="solid">
        <fgColor rgb="FFFEE2E2"/>
      </patternFill>
    </fill>
    <fill>
      <patternFill patternType="solid">
        <fgColor rgb="FF0F172A"/>
      </patternFill>
    </fill>
    <fill>
      <patternFill patternType="solid">
        <fgColor rgb="FF6A7282"/>
      </patternFill>
    </fill>
    <fill>
      <patternFill patternType="solid">
        <fgColor rgb="FFFFFFFF"/>
      </patternFill>
    </fill>
    <fill>
      <patternFill patternType="solid">
        <fgColor rgb="FFE5E7EB"/>
      </patternFill>
    </fill>
    <fill>
      <patternFill patternType="solid">
        <fgColor rgb="FFEF4444"/>
      </patternFill>
    </fill>
    <fill>
      <patternFill patternType="solid">
        <fgColor rgb="FF353535"/>
      </patternFill>
    </fill>
    <fill>
      <patternFill patternType="solid">
        <fgColor rgb="FF000000"/>
      </patternFill>
    </fill>
    <fill>
      <patternFill patternType="solid">
        <fgColor rgb="FFCCFBF1"/>
      </patternFill>
    </fill>
    <fill>
      <patternFill patternType="solid">
        <fgColor rgb="FFDBEAFE"/>
      </patternFill>
    </fill>
    <fill>
      <patternFill patternType="solid">
        <fgColor rgb="FFD9F99D"/>
      </patternFill>
    </fill>
    <fill>
      <patternFill patternType="solid">
        <fgColor rgb="FFBBF7D0"/>
      </patternFill>
    </fill>
    <fill>
      <patternFill patternType="solid">
        <fgColor rgb="FFF1F3F5"/>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37">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5" fillId="3" borderId="1" xfId="0" applyFont="1" applyFill="1" applyBorder="1" applyAlignment="1">
      <alignment horizontal="left" vertical="center"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4" fillId="7" borderId="1" xfId="0" applyFont="1" applyFill="1" applyBorder="1" applyAlignment="1">
      <alignment horizontal="center" vertical="top" wrapText="1"/>
    </xf>
    <xf numFmtId="0" fontId="4" fillId="7" borderId="1" xfId="0" applyFont="1" applyFill="1" applyBorder="1" applyAlignment="1">
      <alignment horizontal="left" vertical="top" wrapText="1"/>
    </xf>
    <xf numFmtId="0" fontId="4" fillId="8" borderId="1" xfId="0" applyFont="1" applyFill="1" applyBorder="1" applyAlignment="1">
      <alignment horizontal="center" vertical="top" wrapText="1"/>
    </xf>
    <xf numFmtId="0" fontId="4" fillId="8" borderId="1" xfId="0" applyFont="1" applyFill="1" applyBorder="1" applyAlignment="1">
      <alignment horizontal="left" vertical="top" wrapText="1"/>
    </xf>
    <xf numFmtId="0" fontId="4" fillId="9" borderId="1" xfId="0" applyFont="1" applyFill="1" applyBorder="1" applyAlignment="1">
      <alignment horizontal="center" vertical="top" wrapText="1"/>
    </xf>
    <xf numFmtId="0" fontId="4" fillId="9" borderId="1" xfId="0" applyFont="1" applyFill="1" applyBorder="1" applyAlignment="1">
      <alignment horizontal="left" vertical="top" wrapText="1"/>
    </xf>
    <xf numFmtId="0" fontId="4" fillId="10" borderId="1" xfId="0" applyFont="1" applyFill="1" applyBorder="1" applyAlignment="1">
      <alignment horizontal="center" vertical="top" wrapText="1"/>
    </xf>
    <xf numFmtId="0" fontId="4" fillId="10"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4" fillId="13" borderId="1" xfId="0" applyFont="1" applyFill="1" applyBorder="1" applyAlignment="1">
      <alignment horizontal="left" vertical="top" wrapText="1"/>
    </xf>
    <xf numFmtId="0" fontId="4" fillId="14" borderId="1" xfId="0" applyFont="1" applyFill="1" applyBorder="1" applyAlignment="1">
      <alignment horizontal="left" vertical="top" wrapText="1"/>
    </xf>
    <xf numFmtId="0" fontId="4" fillId="15" borderId="1" xfId="0" applyFont="1" applyFill="1" applyBorder="1" applyAlignment="1">
      <alignment horizontal="left" vertical="top" wrapText="1"/>
    </xf>
    <xf numFmtId="0" fontId="4" fillId="16" borderId="1" xfId="0" applyFont="1" applyFill="1" applyBorder="1" applyAlignment="1">
      <alignment horizontal="left" vertical="top" wrapText="1"/>
    </xf>
    <xf numFmtId="0" fontId="4" fillId="17" borderId="1" xfId="0" applyFont="1" applyFill="1" applyBorder="1" applyAlignment="1">
      <alignment horizontal="left" vertical="top" wrapText="1"/>
    </xf>
    <xf numFmtId="0" fontId="4" fillId="18" borderId="1" xfId="0" applyFont="1" applyFill="1" applyBorder="1" applyAlignment="1">
      <alignment horizontal="left" vertical="top" wrapText="1"/>
    </xf>
    <xf numFmtId="0" fontId="4" fillId="19" borderId="1" xfId="0" applyFont="1" applyFill="1" applyBorder="1" applyAlignment="1">
      <alignment horizontal="left" vertical="top" wrapText="1"/>
    </xf>
    <xf numFmtId="0" fontId="4" fillId="20" borderId="1" xfId="0" applyFont="1" applyFill="1" applyBorder="1" applyAlignment="1">
      <alignment horizontal="left" vertical="top" wrapText="1"/>
    </xf>
    <xf numFmtId="0" fontId="4" fillId="21" borderId="1" xfId="0" applyFont="1" applyFill="1" applyBorder="1" applyAlignment="1">
      <alignment horizontal="left" vertical="top" wrapText="1"/>
    </xf>
    <xf numFmtId="0" fontId="4" fillId="22" borderId="1" xfId="0" applyFont="1" applyFill="1" applyBorder="1" applyAlignment="1">
      <alignment horizontal="left" vertical="top" wrapText="1"/>
    </xf>
    <xf numFmtId="0" fontId="4"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1"/>
  <sheetViews>
    <sheetView workbookViewId="0" showGridLines="0"/>
  </sheetViews>
  <sheetFormatPr defaultRowHeight="15" outlineLevelRow="0" outlineLevelCol="0" x14ac:dyDescent="55"/>
  <cols>
    <col min="1" max="1" width="30" customWidth="1"/>
    <col min="2" max="2" width="110" customWidth="1"/>
  </cols>
  <sheetData>
    <row r="1" ht="26" customHeight="1" spans="1:2" x14ac:dyDescent="0.25">
      <c r="A1" s="1" t="s">
        <v>0</v>
      </c>
      <c r="B1" s="1"/>
    </row>
    <row r="2" ht="30" customHeight="1" spans="1:2" x14ac:dyDescent="0.25">
      <c r="A2" s="2" t="s">
        <v>1</v>
      </c>
      <c r="B2" s="2"/>
    </row>
    <row r="4" ht="30" customHeight="1" spans="1:2" x14ac:dyDescent="0.25">
      <c r="A4" s="3" t="s">
        <v>2</v>
      </c>
      <c r="B4" s="4" t="s">
        <v>3</v>
      </c>
    </row>
    <row r="5" spans="1:2" x14ac:dyDescent="0.25">
      <c r="A5" s="3" t="s">
        <v>4</v>
      </c>
      <c r="B5" s="5">
        <f>COUNTA('Page Design Map'!C5:C500)</f>
        <v>88</v>
      </c>
    </row>
    <row r="6" ht="30" customHeight="1" spans="1:2" x14ac:dyDescent="0.25">
      <c r="A6" s="3" t="s">
        <v>5</v>
      </c>
      <c r="B6" s="4" t="s">
        <v>6</v>
      </c>
    </row>
    <row r="7" ht="45" customHeight="1" spans="1:2" x14ac:dyDescent="0.25">
      <c r="A7" s="3" t="s">
        <v>7</v>
      </c>
      <c r="B7" s="4" t="s">
        <v>8</v>
      </c>
    </row>
    <row r="8" ht="45" customHeight="1" spans="1:2" x14ac:dyDescent="0.25">
      <c r="A8" s="3" t="s">
        <v>9</v>
      </c>
      <c r="B8" s="4" t="s">
        <v>10</v>
      </c>
    </row>
    <row r="9" ht="70" customHeight="1" spans="1:2" x14ac:dyDescent="0.25">
      <c r="A9" s="3" t="s">
        <v>11</v>
      </c>
      <c r="B9" s="4" t="s">
        <v>12</v>
      </c>
    </row>
    <row r="10" ht="30" customHeight="1" spans="1:2" x14ac:dyDescent="0.25">
      <c r="A10" s="3" t="s">
        <v>13</v>
      </c>
      <c r="B10" s="4" t="s">
        <v>14</v>
      </c>
    </row>
    <row r="11" spans="1:2" x14ac:dyDescent="0.25">
      <c r="A11" s="3" t="s">
        <v>15</v>
      </c>
      <c r="B11" s="4" t="s">
        <v>16</v>
      </c>
    </row>
  </sheetData>
  <mergeCells count="2">
    <mergeCell ref="A1:B1"/>
    <mergeCell ref="A2:B2"/>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92"/>
  <sheetViews>
    <sheetView workbookViewId="0" showGridLines="0">
      <pane xSplit="4" ySplit="4" topLeftCell="E5" activePane="bottomRight" state="frozen"/>
      <selection pane="bottomRight"/>
    </sheetView>
  </sheetViews>
  <sheetFormatPr defaultRowHeight="15" outlineLevelRow="0" outlineLevelCol="0" x14ac:dyDescent="55"/>
  <cols>
    <col min="1" max="1" width="5" customWidth="1"/>
    <col min="2" max="2" width="14" customWidth="1"/>
    <col min="3" max="3" width="15" customWidth="1"/>
    <col min="4" max="4" width="30" customWidth="1"/>
    <col min="5" max="7" width="22" customWidth="1"/>
    <col min="8" max="8" width="62" customWidth="1"/>
    <col min="9" max="9" width="40" customWidth="1"/>
    <col min="10" max="10" width="50" customWidth="1"/>
    <col min="11" max="11" width="46" customWidth="1"/>
    <col min="12" max="12" width="30" customWidth="1"/>
  </cols>
  <sheetData>
    <row r="1" ht="26" customHeight="1" spans="1:12" x14ac:dyDescent="0.25">
      <c r="A1" s="1" t="s">
        <v>17</v>
      </c>
      <c r="B1" s="1"/>
      <c r="C1" s="1"/>
      <c r="D1" s="1"/>
      <c r="E1" s="1"/>
      <c r="F1" s="1"/>
      <c r="G1" s="1"/>
      <c r="H1" s="1"/>
      <c r="I1" s="1"/>
      <c r="J1" s="1"/>
      <c r="K1" s="1"/>
      <c r="L1" s="1"/>
    </row>
    <row r="2" ht="30" customHeight="1" spans="1:12" x14ac:dyDescent="0.25">
      <c r="A2" s="2" t="s">
        <v>18</v>
      </c>
      <c r="B2" s="2"/>
      <c r="C2" s="2"/>
      <c r="D2" s="2"/>
      <c r="E2" s="2"/>
      <c r="F2" s="2"/>
      <c r="G2" s="2"/>
      <c r="H2" s="2"/>
      <c r="I2" s="2"/>
      <c r="J2" s="2"/>
      <c r="K2" s="2"/>
      <c r="L2" s="2"/>
    </row>
    <row r="4" ht="32" customHeight="1" spans="1:12" x14ac:dyDescent="0.25">
      <c r="A4" s="6" t="s">
        <v>19</v>
      </c>
      <c r="B4" s="6" t="s">
        <v>20</v>
      </c>
      <c r="C4" s="6" t="s">
        <v>21</v>
      </c>
      <c r="D4" s="6" t="s">
        <v>22</v>
      </c>
      <c r="E4" s="6" t="s">
        <v>23</v>
      </c>
      <c r="F4" s="6" t="s">
        <v>24</v>
      </c>
      <c r="G4" s="6" t="s">
        <v>25</v>
      </c>
      <c r="H4" s="6" t="s">
        <v>26</v>
      </c>
      <c r="I4" s="6" t="s">
        <v>27</v>
      </c>
      <c r="J4" s="6" t="s">
        <v>28</v>
      </c>
      <c r="K4" s="6" t="s">
        <v>29</v>
      </c>
      <c r="L4" s="6" t="s">
        <v>30</v>
      </c>
    </row>
    <row r="5" ht="100" customHeight="1" spans="1:12" x14ac:dyDescent="0.25">
      <c r="A5" s="7">
        <v>1</v>
      </c>
      <c r="B5" s="8" t="s">
        <v>31</v>
      </c>
      <c r="C5" s="4" t="s">
        <v>32</v>
      </c>
      <c r="D5" s="9" t="s">
        <v>33</v>
      </c>
      <c r="E5" s="4" t="s">
        <v>34</v>
      </c>
      <c r="F5" s="4" t="s">
        <v>35</v>
      </c>
      <c r="G5" s="4" t="s">
        <v>36</v>
      </c>
      <c r="H5" s="4" t="s">
        <v>37</v>
      </c>
      <c r="I5" s="4" t="s">
        <v>38</v>
      </c>
      <c r="J5" s="4" t="s">
        <v>39</v>
      </c>
      <c r="K5" s="4" t="s">
        <v>40</v>
      </c>
      <c r="L5" s="4" t="s">
        <v>41</v>
      </c>
    </row>
    <row r="6" ht="87.5" customHeight="1" spans="1:12" x14ac:dyDescent="0.25">
      <c r="A6" s="7">
        <v>2</v>
      </c>
      <c r="B6" s="8" t="s">
        <v>31</v>
      </c>
      <c r="C6" s="10" t="s">
        <v>32</v>
      </c>
      <c r="D6" s="3" t="s">
        <v>42</v>
      </c>
      <c r="E6" s="10" t="s">
        <v>43</v>
      </c>
      <c r="F6" s="10" t="s">
        <v>35</v>
      </c>
      <c r="G6" s="10" t="s">
        <v>36</v>
      </c>
      <c r="H6" s="10" t="s">
        <v>44</v>
      </c>
      <c r="I6" s="10" t="s">
        <v>45</v>
      </c>
      <c r="J6" s="10" t="s">
        <v>46</v>
      </c>
      <c r="K6" s="10" t="s">
        <v>47</v>
      </c>
      <c r="L6" s="10" t="s">
        <v>48</v>
      </c>
    </row>
    <row r="7" ht="87.5" customHeight="1" spans="1:12" x14ac:dyDescent="0.25">
      <c r="A7" s="7">
        <v>3</v>
      </c>
      <c r="B7" s="8" t="s">
        <v>31</v>
      </c>
      <c r="C7" s="4" t="s">
        <v>32</v>
      </c>
      <c r="D7" s="9" t="s">
        <v>49</v>
      </c>
      <c r="E7" s="4" t="s">
        <v>50</v>
      </c>
      <c r="F7" s="4" t="s">
        <v>51</v>
      </c>
      <c r="G7" s="4" t="s">
        <v>36</v>
      </c>
      <c r="H7" s="4" t="s">
        <v>52</v>
      </c>
      <c r="I7" s="4" t="s">
        <v>53</v>
      </c>
      <c r="J7" s="4" t="s">
        <v>54</v>
      </c>
      <c r="K7" s="4" t="s">
        <v>55</v>
      </c>
      <c r="L7" s="4" t="s">
        <v>56</v>
      </c>
    </row>
    <row r="8" ht="62.5" customHeight="1" spans="1:12" x14ac:dyDescent="0.25">
      <c r="A8" s="7">
        <v>4</v>
      </c>
      <c r="B8" s="8" t="s">
        <v>31</v>
      </c>
      <c r="C8" s="10" t="s">
        <v>32</v>
      </c>
      <c r="D8" s="3" t="s">
        <v>57</v>
      </c>
      <c r="E8" s="10" t="s">
        <v>58</v>
      </c>
      <c r="F8" s="10" t="s">
        <v>59</v>
      </c>
      <c r="G8" s="10" t="s">
        <v>36</v>
      </c>
      <c r="H8" s="10" t="s">
        <v>60</v>
      </c>
      <c r="I8" s="10" t="s">
        <v>61</v>
      </c>
      <c r="J8" s="10" t="s">
        <v>62</v>
      </c>
      <c r="K8" s="10" t="s">
        <v>63</v>
      </c>
      <c r="L8" s="10" t="s">
        <v>64</v>
      </c>
    </row>
    <row r="9" ht="75" customHeight="1" spans="1:12" x14ac:dyDescent="0.25">
      <c r="A9" s="7">
        <v>5</v>
      </c>
      <c r="B9" s="8" t="s">
        <v>31</v>
      </c>
      <c r="C9" s="4" t="s">
        <v>32</v>
      </c>
      <c r="D9" s="9" t="s">
        <v>65</v>
      </c>
      <c r="E9" s="4" t="s">
        <v>66</v>
      </c>
      <c r="F9" s="4" t="s">
        <v>67</v>
      </c>
      <c r="G9" s="4" t="s">
        <v>68</v>
      </c>
      <c r="H9" s="4" t="s">
        <v>69</v>
      </c>
      <c r="I9" s="4" t="s">
        <v>70</v>
      </c>
      <c r="J9" s="4" t="s">
        <v>71</v>
      </c>
      <c r="K9" s="4" t="s">
        <v>72</v>
      </c>
      <c r="L9" s="4" t="s">
        <v>73</v>
      </c>
    </row>
    <row r="10" ht="100" customHeight="1" spans="1:12" x14ac:dyDescent="0.25">
      <c r="A10" s="7">
        <v>6</v>
      </c>
      <c r="B10" s="8" t="s">
        <v>31</v>
      </c>
      <c r="C10" s="10" t="s">
        <v>32</v>
      </c>
      <c r="D10" s="3" t="s">
        <v>74</v>
      </c>
      <c r="E10" s="10" t="s">
        <v>75</v>
      </c>
      <c r="F10" s="10" t="s">
        <v>76</v>
      </c>
      <c r="G10" s="10" t="s">
        <v>77</v>
      </c>
      <c r="H10" s="10" t="s">
        <v>78</v>
      </c>
      <c r="I10" s="10" t="s">
        <v>79</v>
      </c>
      <c r="J10" s="10" t="s">
        <v>80</v>
      </c>
      <c r="K10" s="10" t="s">
        <v>81</v>
      </c>
      <c r="L10" s="10" t="s">
        <v>82</v>
      </c>
    </row>
    <row r="11" ht="87.5" customHeight="1" spans="1:12" x14ac:dyDescent="0.25">
      <c r="A11" s="7">
        <v>7</v>
      </c>
      <c r="B11" s="8" t="s">
        <v>31</v>
      </c>
      <c r="C11" s="4" t="s">
        <v>32</v>
      </c>
      <c r="D11" s="9" t="s">
        <v>83</v>
      </c>
      <c r="E11" s="4" t="s">
        <v>84</v>
      </c>
      <c r="F11" s="4" t="s">
        <v>85</v>
      </c>
      <c r="G11" s="4" t="s">
        <v>86</v>
      </c>
      <c r="H11" s="4" t="s">
        <v>87</v>
      </c>
      <c r="I11" s="4" t="s">
        <v>88</v>
      </c>
      <c r="J11" s="4" t="s">
        <v>89</v>
      </c>
      <c r="K11" s="4" t="s">
        <v>90</v>
      </c>
      <c r="L11" s="4" t="s">
        <v>91</v>
      </c>
    </row>
    <row r="12" ht="75" customHeight="1" spans="1:12" x14ac:dyDescent="0.25">
      <c r="A12" s="11">
        <v>8</v>
      </c>
      <c r="B12" s="12" t="s">
        <v>92</v>
      </c>
      <c r="C12" s="10" t="s">
        <v>93</v>
      </c>
      <c r="D12" s="3" t="s">
        <v>94</v>
      </c>
      <c r="E12" s="10" t="s">
        <v>95</v>
      </c>
      <c r="F12" s="10" t="s">
        <v>96</v>
      </c>
      <c r="G12" s="10" t="s">
        <v>97</v>
      </c>
      <c r="H12" s="10" t="s">
        <v>98</v>
      </c>
      <c r="I12" s="10" t="s">
        <v>99</v>
      </c>
      <c r="J12" s="10" t="s">
        <v>100</v>
      </c>
      <c r="K12" s="10" t="s">
        <v>101</v>
      </c>
      <c r="L12" s="10" t="s">
        <v>102</v>
      </c>
    </row>
    <row r="13" ht="100" customHeight="1" spans="1:12" x14ac:dyDescent="0.25">
      <c r="A13" s="11">
        <v>9</v>
      </c>
      <c r="B13" s="12" t="s">
        <v>92</v>
      </c>
      <c r="C13" s="4" t="s">
        <v>93</v>
      </c>
      <c r="D13" s="9" t="s">
        <v>103</v>
      </c>
      <c r="E13" s="4" t="s">
        <v>104</v>
      </c>
      <c r="F13" s="4" t="s">
        <v>105</v>
      </c>
      <c r="G13" s="4" t="s">
        <v>106</v>
      </c>
      <c r="H13" s="4" t="s">
        <v>107</v>
      </c>
      <c r="I13" s="4" t="s">
        <v>108</v>
      </c>
      <c r="J13" s="4" t="s">
        <v>109</v>
      </c>
      <c r="K13" s="4" t="s">
        <v>110</v>
      </c>
      <c r="L13" s="4" t="s">
        <v>111</v>
      </c>
    </row>
    <row r="14" ht="87.5" customHeight="1" spans="1:12" x14ac:dyDescent="0.25">
      <c r="A14" s="11">
        <v>10</v>
      </c>
      <c r="B14" s="12" t="s">
        <v>92</v>
      </c>
      <c r="C14" s="10" t="s">
        <v>93</v>
      </c>
      <c r="D14" s="3" t="s">
        <v>112</v>
      </c>
      <c r="E14" s="10" t="s">
        <v>113</v>
      </c>
      <c r="F14" s="10" t="s">
        <v>114</v>
      </c>
      <c r="G14" s="10" t="s">
        <v>106</v>
      </c>
      <c r="H14" s="10" t="s">
        <v>115</v>
      </c>
      <c r="I14" s="10" t="s">
        <v>116</v>
      </c>
      <c r="J14" s="10" t="s">
        <v>117</v>
      </c>
      <c r="K14" s="10" t="s">
        <v>118</v>
      </c>
      <c r="L14" s="10" t="s">
        <v>119</v>
      </c>
    </row>
    <row r="15" ht="75" customHeight="1" spans="1:12" x14ac:dyDescent="0.25">
      <c r="A15" s="11">
        <v>11</v>
      </c>
      <c r="B15" s="12" t="s">
        <v>92</v>
      </c>
      <c r="C15" s="4" t="s">
        <v>93</v>
      </c>
      <c r="D15" s="9" t="s">
        <v>120</v>
      </c>
      <c r="E15" s="4" t="s">
        <v>121</v>
      </c>
      <c r="F15" s="4" t="s">
        <v>114</v>
      </c>
      <c r="G15" s="4" t="s">
        <v>122</v>
      </c>
      <c r="H15" s="4" t="s">
        <v>123</v>
      </c>
      <c r="I15" s="4" t="s">
        <v>124</v>
      </c>
      <c r="J15" s="4" t="s">
        <v>125</v>
      </c>
      <c r="K15" s="4" t="s">
        <v>126</v>
      </c>
      <c r="L15" s="4" t="s">
        <v>127</v>
      </c>
    </row>
    <row r="16" ht="75" customHeight="1" spans="1:12" x14ac:dyDescent="0.25">
      <c r="A16" s="11">
        <v>12</v>
      </c>
      <c r="B16" s="12" t="s">
        <v>92</v>
      </c>
      <c r="C16" s="10" t="s">
        <v>93</v>
      </c>
      <c r="D16" s="3" t="s">
        <v>128</v>
      </c>
      <c r="E16" s="10" t="s">
        <v>121</v>
      </c>
      <c r="F16" s="10" t="s">
        <v>129</v>
      </c>
      <c r="G16" s="10" t="s">
        <v>130</v>
      </c>
      <c r="H16" s="10" t="s">
        <v>131</v>
      </c>
      <c r="I16" s="10" t="s">
        <v>132</v>
      </c>
      <c r="J16" s="10" t="s">
        <v>133</v>
      </c>
      <c r="K16" s="10" t="s">
        <v>134</v>
      </c>
      <c r="L16" s="10" t="s">
        <v>135</v>
      </c>
    </row>
    <row r="17" ht="75" customHeight="1" spans="1:12" x14ac:dyDescent="0.25">
      <c r="A17" s="11">
        <v>13</v>
      </c>
      <c r="B17" s="12" t="s">
        <v>92</v>
      </c>
      <c r="C17" s="4" t="s">
        <v>93</v>
      </c>
      <c r="D17" s="9" t="s">
        <v>136</v>
      </c>
      <c r="E17" s="4" t="s">
        <v>137</v>
      </c>
      <c r="F17" s="4" t="s">
        <v>138</v>
      </c>
      <c r="G17" s="4" t="s">
        <v>139</v>
      </c>
      <c r="H17" s="4" t="s">
        <v>140</v>
      </c>
      <c r="I17" s="4" t="s">
        <v>141</v>
      </c>
      <c r="J17" s="4" t="s">
        <v>142</v>
      </c>
      <c r="K17" s="4" t="s">
        <v>143</v>
      </c>
      <c r="L17" s="4" t="s">
        <v>144</v>
      </c>
    </row>
    <row r="18" ht="62.5" customHeight="1" spans="1:12" x14ac:dyDescent="0.25">
      <c r="A18" s="11">
        <v>14</v>
      </c>
      <c r="B18" s="12" t="s">
        <v>92</v>
      </c>
      <c r="C18" s="10" t="s">
        <v>93</v>
      </c>
      <c r="D18" s="3" t="s">
        <v>145</v>
      </c>
      <c r="E18" s="10" t="s">
        <v>146</v>
      </c>
      <c r="F18" s="10" t="s">
        <v>138</v>
      </c>
      <c r="G18" s="10" t="s">
        <v>147</v>
      </c>
      <c r="H18" s="10" t="s">
        <v>148</v>
      </c>
      <c r="I18" s="10" t="s">
        <v>149</v>
      </c>
      <c r="J18" s="10" t="s">
        <v>150</v>
      </c>
      <c r="K18" s="10" t="s">
        <v>151</v>
      </c>
      <c r="L18" s="10" t="s">
        <v>152</v>
      </c>
    </row>
    <row r="19" ht="75" customHeight="1" spans="1:12" x14ac:dyDescent="0.25">
      <c r="A19" s="11">
        <v>15</v>
      </c>
      <c r="B19" s="12" t="s">
        <v>92</v>
      </c>
      <c r="C19" s="4" t="s">
        <v>93</v>
      </c>
      <c r="D19" s="9" t="s">
        <v>153</v>
      </c>
      <c r="E19" s="4" t="s">
        <v>154</v>
      </c>
      <c r="F19" s="4" t="s">
        <v>138</v>
      </c>
      <c r="G19" s="4" t="s">
        <v>155</v>
      </c>
      <c r="H19" s="4" t="s">
        <v>156</v>
      </c>
      <c r="I19" s="4" t="s">
        <v>157</v>
      </c>
      <c r="J19" s="4" t="s">
        <v>158</v>
      </c>
      <c r="K19" s="4" t="s">
        <v>159</v>
      </c>
      <c r="L19" s="4" t="s">
        <v>160</v>
      </c>
    </row>
    <row r="20" ht="75" customHeight="1" spans="1:12" x14ac:dyDescent="0.25">
      <c r="A20" s="11">
        <v>16</v>
      </c>
      <c r="B20" s="12" t="s">
        <v>92</v>
      </c>
      <c r="C20" s="10" t="s">
        <v>93</v>
      </c>
      <c r="D20" s="3" t="s">
        <v>161</v>
      </c>
      <c r="E20" s="10" t="s">
        <v>162</v>
      </c>
      <c r="F20" s="10" t="s">
        <v>138</v>
      </c>
      <c r="G20" s="10" t="s">
        <v>163</v>
      </c>
      <c r="H20" s="10" t="s">
        <v>164</v>
      </c>
      <c r="I20" s="10" t="s">
        <v>165</v>
      </c>
      <c r="J20" s="10" t="s">
        <v>166</v>
      </c>
      <c r="K20" s="10" t="s">
        <v>167</v>
      </c>
      <c r="L20" s="10" t="s">
        <v>168</v>
      </c>
    </row>
    <row r="21" ht="60" customHeight="1" spans="1:12" x14ac:dyDescent="0.25">
      <c r="A21" s="11">
        <v>17</v>
      </c>
      <c r="B21" s="12" t="s">
        <v>92</v>
      </c>
      <c r="C21" s="4" t="s">
        <v>93</v>
      </c>
      <c r="D21" s="9" t="s">
        <v>169</v>
      </c>
      <c r="E21" s="4" t="s">
        <v>170</v>
      </c>
      <c r="F21" s="4" t="s">
        <v>138</v>
      </c>
      <c r="G21" s="4" t="s">
        <v>171</v>
      </c>
      <c r="H21" s="4" t="s">
        <v>172</v>
      </c>
      <c r="I21" s="4" t="s">
        <v>173</v>
      </c>
      <c r="J21" s="4" t="s">
        <v>174</v>
      </c>
      <c r="K21" s="4" t="s">
        <v>175</v>
      </c>
      <c r="L21" s="4" t="s">
        <v>176</v>
      </c>
    </row>
    <row r="22" ht="62.5" customHeight="1" spans="1:12" x14ac:dyDescent="0.25">
      <c r="A22" s="11">
        <v>18</v>
      </c>
      <c r="B22" s="12" t="s">
        <v>92</v>
      </c>
      <c r="C22" s="10" t="s">
        <v>93</v>
      </c>
      <c r="D22" s="3" t="s">
        <v>177</v>
      </c>
      <c r="E22" s="10" t="s">
        <v>178</v>
      </c>
      <c r="F22" s="10" t="s">
        <v>138</v>
      </c>
      <c r="G22" s="10" t="s">
        <v>179</v>
      </c>
      <c r="H22" s="10" t="s">
        <v>180</v>
      </c>
      <c r="I22" s="10" t="s">
        <v>181</v>
      </c>
      <c r="J22" s="10" t="s">
        <v>182</v>
      </c>
      <c r="K22" s="10" t="s">
        <v>183</v>
      </c>
      <c r="L22" s="10" t="s">
        <v>184</v>
      </c>
    </row>
    <row r="23" ht="87.5" customHeight="1" spans="1:12" x14ac:dyDescent="0.25">
      <c r="A23" s="11">
        <v>19</v>
      </c>
      <c r="B23" s="12" t="s">
        <v>92</v>
      </c>
      <c r="C23" s="4" t="s">
        <v>93</v>
      </c>
      <c r="D23" s="9" t="s">
        <v>185</v>
      </c>
      <c r="E23" s="4" t="s">
        <v>186</v>
      </c>
      <c r="F23" s="4" t="s">
        <v>138</v>
      </c>
      <c r="G23" s="4" t="s">
        <v>187</v>
      </c>
      <c r="H23" s="4" t="s">
        <v>188</v>
      </c>
      <c r="I23" s="4" t="s">
        <v>189</v>
      </c>
      <c r="J23" s="4" t="s">
        <v>190</v>
      </c>
      <c r="K23" s="4" t="s">
        <v>191</v>
      </c>
      <c r="L23" s="4" t="s">
        <v>192</v>
      </c>
    </row>
    <row r="24" ht="75" customHeight="1" spans="1:12" x14ac:dyDescent="0.25">
      <c r="A24" s="11">
        <v>20</v>
      </c>
      <c r="B24" s="12" t="s">
        <v>92</v>
      </c>
      <c r="C24" s="10" t="s">
        <v>93</v>
      </c>
      <c r="D24" s="3" t="s">
        <v>193</v>
      </c>
      <c r="E24" s="10" t="s">
        <v>194</v>
      </c>
      <c r="F24" s="10" t="s">
        <v>138</v>
      </c>
      <c r="G24" s="10" t="s">
        <v>195</v>
      </c>
      <c r="H24" s="10" t="s">
        <v>196</v>
      </c>
      <c r="I24" s="10" t="s">
        <v>197</v>
      </c>
      <c r="J24" s="10" t="s">
        <v>198</v>
      </c>
      <c r="K24" s="10" t="s">
        <v>199</v>
      </c>
      <c r="L24" s="10" t="s">
        <v>200</v>
      </c>
    </row>
    <row r="25" ht="60" customHeight="1" spans="1:12" x14ac:dyDescent="0.25">
      <c r="A25" s="11">
        <v>21</v>
      </c>
      <c r="B25" s="12" t="s">
        <v>92</v>
      </c>
      <c r="C25" s="4" t="s">
        <v>93</v>
      </c>
      <c r="D25" s="9" t="s">
        <v>201</v>
      </c>
      <c r="E25" s="4" t="s">
        <v>202</v>
      </c>
      <c r="F25" s="4" t="s">
        <v>138</v>
      </c>
      <c r="G25" s="4" t="s">
        <v>203</v>
      </c>
      <c r="H25" s="4" t="s">
        <v>204</v>
      </c>
      <c r="I25" s="4" t="s">
        <v>205</v>
      </c>
      <c r="J25" s="4" t="s">
        <v>206</v>
      </c>
      <c r="K25" s="4" t="s">
        <v>207</v>
      </c>
      <c r="L25" s="4" t="s">
        <v>208</v>
      </c>
    </row>
    <row r="26" ht="100" customHeight="1" spans="1:12" x14ac:dyDescent="0.25">
      <c r="A26" s="13">
        <v>22</v>
      </c>
      <c r="B26" s="14" t="s">
        <v>209</v>
      </c>
      <c r="C26" s="10" t="s">
        <v>210</v>
      </c>
      <c r="D26" s="3" t="s">
        <v>211</v>
      </c>
      <c r="E26" s="10" t="s">
        <v>212</v>
      </c>
      <c r="F26" s="10" t="s">
        <v>213</v>
      </c>
      <c r="G26" s="10" t="s">
        <v>214</v>
      </c>
      <c r="H26" s="10" t="s">
        <v>215</v>
      </c>
      <c r="I26" s="10" t="s">
        <v>216</v>
      </c>
      <c r="J26" s="10" t="s">
        <v>217</v>
      </c>
      <c r="K26" s="10" t="s">
        <v>218</v>
      </c>
      <c r="L26" s="10" t="s">
        <v>219</v>
      </c>
    </row>
    <row r="27" ht="60" customHeight="1" spans="1:12" x14ac:dyDescent="0.25">
      <c r="A27" s="13">
        <v>23</v>
      </c>
      <c r="B27" s="14" t="s">
        <v>209</v>
      </c>
      <c r="C27" s="4" t="s">
        <v>210</v>
      </c>
      <c r="D27" s="9" t="s">
        <v>220</v>
      </c>
      <c r="E27" s="4" t="s">
        <v>221</v>
      </c>
      <c r="F27" s="4" t="s">
        <v>222</v>
      </c>
      <c r="G27" s="4" t="s">
        <v>223</v>
      </c>
      <c r="H27" s="4" t="s">
        <v>224</v>
      </c>
      <c r="I27" s="4" t="s">
        <v>225</v>
      </c>
      <c r="J27" s="4" t="s">
        <v>226</v>
      </c>
      <c r="K27" s="4" t="s">
        <v>227</v>
      </c>
      <c r="L27" s="4" t="s">
        <v>228</v>
      </c>
    </row>
    <row r="28" ht="100" customHeight="1" spans="1:12" x14ac:dyDescent="0.25">
      <c r="A28" s="13">
        <v>24</v>
      </c>
      <c r="B28" s="14" t="s">
        <v>209</v>
      </c>
      <c r="C28" s="10" t="s">
        <v>210</v>
      </c>
      <c r="D28" s="3" t="s">
        <v>229</v>
      </c>
      <c r="E28" s="10" t="s">
        <v>230</v>
      </c>
      <c r="F28" s="10" t="s">
        <v>231</v>
      </c>
      <c r="G28" s="10" t="s">
        <v>232</v>
      </c>
      <c r="H28" s="10" t="s">
        <v>233</v>
      </c>
      <c r="I28" s="10" t="s">
        <v>234</v>
      </c>
      <c r="J28" s="10" t="s">
        <v>235</v>
      </c>
      <c r="K28" s="10" t="s">
        <v>236</v>
      </c>
      <c r="L28" s="10" t="s">
        <v>237</v>
      </c>
    </row>
    <row r="29" ht="112.5" customHeight="1" spans="1:12" x14ac:dyDescent="0.25">
      <c r="A29" s="13">
        <v>25</v>
      </c>
      <c r="B29" s="14" t="s">
        <v>209</v>
      </c>
      <c r="C29" s="4" t="s">
        <v>210</v>
      </c>
      <c r="D29" s="9" t="s">
        <v>238</v>
      </c>
      <c r="E29" s="4" t="s">
        <v>239</v>
      </c>
      <c r="F29" s="4" t="s">
        <v>240</v>
      </c>
      <c r="G29" s="4" t="s">
        <v>241</v>
      </c>
      <c r="H29" s="4" t="s">
        <v>242</v>
      </c>
      <c r="I29" s="4" t="s">
        <v>243</v>
      </c>
      <c r="J29" s="4" t="s">
        <v>244</v>
      </c>
      <c r="K29" s="4" t="s">
        <v>245</v>
      </c>
      <c r="L29" s="4" t="s">
        <v>246</v>
      </c>
    </row>
    <row r="30" ht="100" customHeight="1" spans="1:12" x14ac:dyDescent="0.25">
      <c r="A30" s="13">
        <v>26</v>
      </c>
      <c r="B30" s="14" t="s">
        <v>209</v>
      </c>
      <c r="C30" s="10" t="s">
        <v>210</v>
      </c>
      <c r="D30" s="3" t="s">
        <v>247</v>
      </c>
      <c r="E30" s="10" t="s">
        <v>248</v>
      </c>
      <c r="F30" s="10" t="s">
        <v>249</v>
      </c>
      <c r="G30" s="10" t="s">
        <v>232</v>
      </c>
      <c r="H30" s="10" t="s">
        <v>250</v>
      </c>
      <c r="I30" s="10" t="s">
        <v>251</v>
      </c>
      <c r="J30" s="10" t="s">
        <v>252</v>
      </c>
      <c r="K30" s="10" t="s">
        <v>253</v>
      </c>
      <c r="L30" s="10" t="s">
        <v>254</v>
      </c>
    </row>
    <row r="31" ht="87.5" customHeight="1" spans="1:12" x14ac:dyDescent="0.25">
      <c r="A31" s="13">
        <v>27</v>
      </c>
      <c r="B31" s="14" t="s">
        <v>209</v>
      </c>
      <c r="C31" s="4" t="s">
        <v>210</v>
      </c>
      <c r="D31" s="9" t="s">
        <v>255</v>
      </c>
      <c r="E31" s="4" t="s">
        <v>256</v>
      </c>
      <c r="F31" s="4" t="s">
        <v>257</v>
      </c>
      <c r="G31" s="4" t="s">
        <v>258</v>
      </c>
      <c r="H31" s="4" t="s">
        <v>259</v>
      </c>
      <c r="I31" s="4" t="s">
        <v>260</v>
      </c>
      <c r="J31" s="4" t="s">
        <v>261</v>
      </c>
      <c r="K31" s="4" t="s">
        <v>262</v>
      </c>
      <c r="L31" s="4" t="s">
        <v>263</v>
      </c>
    </row>
    <row r="32" ht="75" customHeight="1" spans="1:12" x14ac:dyDescent="0.25">
      <c r="A32" s="13">
        <v>28</v>
      </c>
      <c r="B32" s="14" t="s">
        <v>209</v>
      </c>
      <c r="C32" s="10" t="s">
        <v>264</v>
      </c>
      <c r="D32" s="3" t="s">
        <v>265</v>
      </c>
      <c r="E32" s="10" t="s">
        <v>266</v>
      </c>
      <c r="F32" s="10" t="s">
        <v>267</v>
      </c>
      <c r="G32" s="10" t="s">
        <v>268</v>
      </c>
      <c r="H32" s="10" t="s">
        <v>269</v>
      </c>
      <c r="I32" s="10" t="s">
        <v>270</v>
      </c>
      <c r="J32" s="10" t="s">
        <v>271</v>
      </c>
      <c r="K32" s="10" t="s">
        <v>272</v>
      </c>
      <c r="L32" s="10" t="s">
        <v>273</v>
      </c>
    </row>
    <row r="33" ht="100" customHeight="1" spans="1:12" x14ac:dyDescent="0.25">
      <c r="A33" s="13">
        <v>29</v>
      </c>
      <c r="B33" s="14" t="s">
        <v>209</v>
      </c>
      <c r="C33" s="4" t="s">
        <v>264</v>
      </c>
      <c r="D33" s="9" t="s">
        <v>274</v>
      </c>
      <c r="E33" s="4" t="s">
        <v>275</v>
      </c>
      <c r="F33" s="4" t="s">
        <v>276</v>
      </c>
      <c r="G33" s="4" t="s">
        <v>277</v>
      </c>
      <c r="H33" s="4" t="s">
        <v>278</v>
      </c>
      <c r="I33" s="4" t="s">
        <v>279</v>
      </c>
      <c r="J33" s="4" t="s">
        <v>280</v>
      </c>
      <c r="K33" s="4" t="s">
        <v>281</v>
      </c>
      <c r="L33" s="4" t="s">
        <v>282</v>
      </c>
    </row>
    <row r="34" ht="87.5" customHeight="1" spans="1:12" x14ac:dyDescent="0.25">
      <c r="A34" s="13">
        <v>30</v>
      </c>
      <c r="B34" s="14" t="s">
        <v>209</v>
      </c>
      <c r="C34" s="10" t="s">
        <v>264</v>
      </c>
      <c r="D34" s="3" t="s">
        <v>283</v>
      </c>
      <c r="E34" s="10" t="s">
        <v>284</v>
      </c>
      <c r="F34" s="10" t="s">
        <v>285</v>
      </c>
      <c r="G34" s="10" t="s">
        <v>286</v>
      </c>
      <c r="H34" s="10" t="s">
        <v>287</v>
      </c>
      <c r="I34" s="10" t="s">
        <v>288</v>
      </c>
      <c r="J34" s="10" t="s">
        <v>289</v>
      </c>
      <c r="K34" s="10" t="s">
        <v>290</v>
      </c>
      <c r="L34" s="10" t="s">
        <v>291</v>
      </c>
    </row>
    <row r="35" ht="60" customHeight="1" spans="1:12" x14ac:dyDescent="0.25">
      <c r="A35" s="13">
        <v>31</v>
      </c>
      <c r="B35" s="14" t="s">
        <v>209</v>
      </c>
      <c r="C35" s="4" t="s">
        <v>264</v>
      </c>
      <c r="D35" s="9" t="s">
        <v>292</v>
      </c>
      <c r="E35" s="4" t="s">
        <v>293</v>
      </c>
      <c r="F35" s="4" t="s">
        <v>294</v>
      </c>
      <c r="G35" s="4" t="s">
        <v>295</v>
      </c>
      <c r="H35" s="4" t="s">
        <v>296</v>
      </c>
      <c r="I35" s="4" t="s">
        <v>297</v>
      </c>
      <c r="J35" s="4" t="s">
        <v>298</v>
      </c>
      <c r="K35" s="4" t="s">
        <v>299</v>
      </c>
      <c r="L35" s="4" t="s">
        <v>300</v>
      </c>
    </row>
    <row r="36" ht="100" customHeight="1" spans="1:12" x14ac:dyDescent="0.25">
      <c r="A36" s="13">
        <v>32</v>
      </c>
      <c r="B36" s="14" t="s">
        <v>209</v>
      </c>
      <c r="C36" s="10" t="s">
        <v>264</v>
      </c>
      <c r="D36" s="3" t="s">
        <v>301</v>
      </c>
      <c r="E36" s="10" t="s">
        <v>302</v>
      </c>
      <c r="F36" s="10" t="s">
        <v>303</v>
      </c>
      <c r="G36" s="10" t="s">
        <v>304</v>
      </c>
      <c r="H36" s="10" t="s">
        <v>305</v>
      </c>
      <c r="I36" s="10" t="s">
        <v>306</v>
      </c>
      <c r="J36" s="10" t="s">
        <v>307</v>
      </c>
      <c r="K36" s="10" t="s">
        <v>308</v>
      </c>
      <c r="L36" s="10" t="s">
        <v>309</v>
      </c>
    </row>
    <row r="37" ht="100" customHeight="1" spans="1:12" x14ac:dyDescent="0.25">
      <c r="A37" s="13">
        <v>33</v>
      </c>
      <c r="B37" s="14" t="s">
        <v>209</v>
      </c>
      <c r="C37" s="4" t="s">
        <v>264</v>
      </c>
      <c r="D37" s="9" t="s">
        <v>310</v>
      </c>
      <c r="E37" s="4" t="s">
        <v>311</v>
      </c>
      <c r="F37" s="4" t="s">
        <v>312</v>
      </c>
      <c r="G37" s="4" t="s">
        <v>313</v>
      </c>
      <c r="H37" s="4" t="s">
        <v>314</v>
      </c>
      <c r="I37" s="4" t="s">
        <v>315</v>
      </c>
      <c r="J37" s="4" t="s">
        <v>316</v>
      </c>
      <c r="K37" s="4" t="s">
        <v>317</v>
      </c>
      <c r="L37" s="4" t="s">
        <v>318</v>
      </c>
    </row>
    <row r="38" ht="62.5" customHeight="1" spans="1:12" x14ac:dyDescent="0.25">
      <c r="A38" s="13">
        <v>34</v>
      </c>
      <c r="B38" s="14" t="s">
        <v>209</v>
      </c>
      <c r="C38" s="10" t="s">
        <v>264</v>
      </c>
      <c r="D38" s="3" t="s">
        <v>319</v>
      </c>
      <c r="E38" s="10" t="s">
        <v>320</v>
      </c>
      <c r="F38" s="10" t="s">
        <v>312</v>
      </c>
      <c r="G38" s="10" t="s">
        <v>321</v>
      </c>
      <c r="H38" s="10" t="s">
        <v>322</v>
      </c>
      <c r="I38" s="10" t="s">
        <v>323</v>
      </c>
      <c r="J38" s="10" t="s">
        <v>324</v>
      </c>
      <c r="K38" s="10" t="s">
        <v>325</v>
      </c>
      <c r="L38" s="10" t="s">
        <v>326</v>
      </c>
    </row>
    <row r="39" ht="100" customHeight="1" spans="1:12" x14ac:dyDescent="0.25">
      <c r="A39" s="13">
        <v>35</v>
      </c>
      <c r="B39" s="14" t="s">
        <v>209</v>
      </c>
      <c r="C39" s="4" t="s">
        <v>264</v>
      </c>
      <c r="D39" s="9" t="s">
        <v>327</v>
      </c>
      <c r="E39" s="4" t="s">
        <v>328</v>
      </c>
      <c r="F39" s="4" t="s">
        <v>329</v>
      </c>
      <c r="G39" s="4" t="s">
        <v>330</v>
      </c>
      <c r="H39" s="4" t="s">
        <v>331</v>
      </c>
      <c r="I39" s="4" t="s">
        <v>332</v>
      </c>
      <c r="J39" s="4" t="s">
        <v>333</v>
      </c>
      <c r="K39" s="4" t="s">
        <v>334</v>
      </c>
      <c r="L39" s="4" t="s">
        <v>335</v>
      </c>
    </row>
    <row r="40" ht="75" customHeight="1" spans="1:12" x14ac:dyDescent="0.25">
      <c r="A40" s="13">
        <v>36</v>
      </c>
      <c r="B40" s="14" t="s">
        <v>209</v>
      </c>
      <c r="C40" s="10" t="s">
        <v>264</v>
      </c>
      <c r="D40" s="3" t="s">
        <v>336</v>
      </c>
      <c r="E40" s="10" t="s">
        <v>337</v>
      </c>
      <c r="F40" s="10" t="s">
        <v>338</v>
      </c>
      <c r="G40" s="10" t="s">
        <v>339</v>
      </c>
      <c r="H40" s="10" t="s">
        <v>340</v>
      </c>
      <c r="I40" s="10" t="s">
        <v>341</v>
      </c>
      <c r="J40" s="10" t="s">
        <v>342</v>
      </c>
      <c r="K40" s="10" t="s">
        <v>343</v>
      </c>
      <c r="L40" s="10" t="s">
        <v>344</v>
      </c>
    </row>
    <row r="41" ht="100" customHeight="1" spans="1:12" x14ac:dyDescent="0.25">
      <c r="A41" s="13">
        <v>37</v>
      </c>
      <c r="B41" s="14" t="s">
        <v>209</v>
      </c>
      <c r="C41" s="4" t="s">
        <v>264</v>
      </c>
      <c r="D41" s="9" t="s">
        <v>345</v>
      </c>
      <c r="E41" s="4" t="s">
        <v>346</v>
      </c>
      <c r="F41" s="4" t="s">
        <v>347</v>
      </c>
      <c r="G41" s="4" t="s">
        <v>348</v>
      </c>
      <c r="H41" s="4" t="s">
        <v>349</v>
      </c>
      <c r="I41" s="4" t="s">
        <v>350</v>
      </c>
      <c r="J41" s="4" t="s">
        <v>351</v>
      </c>
      <c r="K41" s="4" t="s">
        <v>352</v>
      </c>
      <c r="L41" s="4" t="s">
        <v>353</v>
      </c>
    </row>
    <row r="42" ht="62.5" customHeight="1" spans="1:12" x14ac:dyDescent="0.25">
      <c r="A42" s="13">
        <v>38</v>
      </c>
      <c r="B42" s="14" t="s">
        <v>209</v>
      </c>
      <c r="C42" s="10" t="s">
        <v>264</v>
      </c>
      <c r="D42" s="3" t="s">
        <v>354</v>
      </c>
      <c r="E42" s="10" t="s">
        <v>355</v>
      </c>
      <c r="F42" s="10" t="s">
        <v>356</v>
      </c>
      <c r="G42" s="10" t="s">
        <v>348</v>
      </c>
      <c r="H42" s="10" t="s">
        <v>357</v>
      </c>
      <c r="I42" s="10" t="s">
        <v>358</v>
      </c>
      <c r="J42" s="10" t="s">
        <v>359</v>
      </c>
      <c r="K42" s="10" t="s">
        <v>360</v>
      </c>
      <c r="L42" s="10" t="s">
        <v>361</v>
      </c>
    </row>
    <row r="43" ht="62.5" customHeight="1" spans="1:12" x14ac:dyDescent="0.25">
      <c r="A43" s="13">
        <v>39</v>
      </c>
      <c r="B43" s="14" t="s">
        <v>209</v>
      </c>
      <c r="C43" s="4" t="s">
        <v>264</v>
      </c>
      <c r="D43" s="9" t="s">
        <v>362</v>
      </c>
      <c r="E43" s="4" t="s">
        <v>363</v>
      </c>
      <c r="F43" s="4" t="s">
        <v>364</v>
      </c>
      <c r="G43" s="4" t="s">
        <v>365</v>
      </c>
      <c r="H43" s="4" t="s">
        <v>366</v>
      </c>
      <c r="I43" s="4" t="s">
        <v>367</v>
      </c>
      <c r="J43" s="4" t="s">
        <v>368</v>
      </c>
      <c r="K43" s="4" t="s">
        <v>369</v>
      </c>
      <c r="L43" s="4" t="s">
        <v>370</v>
      </c>
    </row>
    <row r="44" ht="75" customHeight="1" spans="1:12" x14ac:dyDescent="0.25">
      <c r="A44" s="13">
        <v>40</v>
      </c>
      <c r="B44" s="14" t="s">
        <v>209</v>
      </c>
      <c r="C44" s="10" t="s">
        <v>264</v>
      </c>
      <c r="D44" s="3" t="s">
        <v>371</v>
      </c>
      <c r="E44" s="10" t="s">
        <v>372</v>
      </c>
      <c r="F44" s="10" t="s">
        <v>364</v>
      </c>
      <c r="G44" s="10" t="s">
        <v>373</v>
      </c>
      <c r="H44" s="10" t="s">
        <v>374</v>
      </c>
      <c r="I44" s="10" t="s">
        <v>375</v>
      </c>
      <c r="J44" s="10" t="s">
        <v>376</v>
      </c>
      <c r="K44" s="10" t="s">
        <v>377</v>
      </c>
      <c r="L44" s="10" t="s">
        <v>378</v>
      </c>
    </row>
    <row r="45" ht="75" customHeight="1" spans="1:12" x14ac:dyDescent="0.25">
      <c r="A45" s="13">
        <v>41</v>
      </c>
      <c r="B45" s="14" t="s">
        <v>209</v>
      </c>
      <c r="C45" s="4" t="s">
        <v>379</v>
      </c>
      <c r="D45" s="9" t="s">
        <v>380</v>
      </c>
      <c r="E45" s="4" t="s">
        <v>381</v>
      </c>
      <c r="F45" s="4" t="s">
        <v>382</v>
      </c>
      <c r="G45" s="4" t="s">
        <v>383</v>
      </c>
      <c r="H45" s="4" t="s">
        <v>384</v>
      </c>
      <c r="I45" s="4" t="s">
        <v>385</v>
      </c>
      <c r="J45" s="4" t="s">
        <v>386</v>
      </c>
      <c r="K45" s="4" t="s">
        <v>387</v>
      </c>
      <c r="L45" s="4" t="s">
        <v>388</v>
      </c>
    </row>
    <row r="46" ht="60" customHeight="1" spans="1:12" x14ac:dyDescent="0.25">
      <c r="A46" s="13">
        <v>42</v>
      </c>
      <c r="B46" s="14" t="s">
        <v>209</v>
      </c>
      <c r="C46" s="10" t="s">
        <v>379</v>
      </c>
      <c r="D46" s="3" t="s">
        <v>389</v>
      </c>
      <c r="E46" s="10" t="s">
        <v>390</v>
      </c>
      <c r="F46" s="10" t="s">
        <v>391</v>
      </c>
      <c r="G46" s="10" t="s">
        <v>392</v>
      </c>
      <c r="H46" s="10" t="s">
        <v>393</v>
      </c>
      <c r="I46" s="10" t="s">
        <v>394</v>
      </c>
      <c r="J46" s="10" t="s">
        <v>395</v>
      </c>
      <c r="K46" s="10" t="s">
        <v>396</v>
      </c>
      <c r="L46" s="10" t="s">
        <v>397</v>
      </c>
    </row>
    <row r="47" ht="87.5" customHeight="1" spans="1:12" x14ac:dyDescent="0.25">
      <c r="A47" s="13">
        <v>43</v>
      </c>
      <c r="B47" s="14" t="s">
        <v>209</v>
      </c>
      <c r="C47" s="4" t="s">
        <v>379</v>
      </c>
      <c r="D47" s="9" t="s">
        <v>398</v>
      </c>
      <c r="E47" s="4" t="s">
        <v>399</v>
      </c>
      <c r="F47" s="4" t="s">
        <v>400</v>
      </c>
      <c r="G47" s="4" t="s">
        <v>392</v>
      </c>
      <c r="H47" s="4" t="s">
        <v>401</v>
      </c>
      <c r="I47" s="4" t="s">
        <v>402</v>
      </c>
      <c r="J47" s="4" t="s">
        <v>403</v>
      </c>
      <c r="K47" s="4" t="s">
        <v>404</v>
      </c>
      <c r="L47" s="4" t="s">
        <v>388</v>
      </c>
    </row>
    <row r="48" ht="60" customHeight="1" spans="1:12" x14ac:dyDescent="0.25">
      <c r="A48" s="13">
        <v>44</v>
      </c>
      <c r="B48" s="14" t="s">
        <v>209</v>
      </c>
      <c r="C48" s="10" t="s">
        <v>379</v>
      </c>
      <c r="D48" s="3" t="s">
        <v>405</v>
      </c>
      <c r="E48" s="10" t="s">
        <v>406</v>
      </c>
      <c r="F48" s="10" t="s">
        <v>407</v>
      </c>
      <c r="G48" s="10" t="s">
        <v>408</v>
      </c>
      <c r="H48" s="10" t="s">
        <v>409</v>
      </c>
      <c r="I48" s="10" t="s">
        <v>410</v>
      </c>
      <c r="J48" s="10" t="s">
        <v>411</v>
      </c>
      <c r="K48" s="10" t="s">
        <v>412</v>
      </c>
      <c r="L48" s="10" t="s">
        <v>397</v>
      </c>
    </row>
    <row r="49" ht="60" customHeight="1" spans="1:12" x14ac:dyDescent="0.25">
      <c r="A49" s="15">
        <v>45</v>
      </c>
      <c r="B49" s="16" t="s">
        <v>413</v>
      </c>
      <c r="C49" s="4" t="s">
        <v>414</v>
      </c>
      <c r="D49" s="9" t="s">
        <v>415</v>
      </c>
      <c r="E49" s="4" t="s">
        <v>416</v>
      </c>
      <c r="F49" s="4" t="s">
        <v>417</v>
      </c>
      <c r="G49" s="4" t="s">
        <v>418</v>
      </c>
      <c r="H49" s="4" t="s">
        <v>419</v>
      </c>
      <c r="I49" s="4" t="s">
        <v>420</v>
      </c>
      <c r="J49" s="4" t="s">
        <v>421</v>
      </c>
      <c r="K49" s="4" t="s">
        <v>422</v>
      </c>
      <c r="L49" s="4" t="s">
        <v>423</v>
      </c>
    </row>
    <row r="50" ht="112.5" customHeight="1" spans="1:12" x14ac:dyDescent="0.25">
      <c r="A50" s="15">
        <v>46</v>
      </c>
      <c r="B50" s="16" t="s">
        <v>413</v>
      </c>
      <c r="C50" s="10" t="s">
        <v>414</v>
      </c>
      <c r="D50" s="3" t="s">
        <v>424</v>
      </c>
      <c r="E50" s="10" t="s">
        <v>425</v>
      </c>
      <c r="F50" s="10" t="s">
        <v>426</v>
      </c>
      <c r="G50" s="10" t="s">
        <v>106</v>
      </c>
      <c r="H50" s="10" t="s">
        <v>427</v>
      </c>
      <c r="I50" s="10" t="s">
        <v>428</v>
      </c>
      <c r="J50" s="10" t="s">
        <v>429</v>
      </c>
      <c r="K50" s="10" t="s">
        <v>430</v>
      </c>
      <c r="L50" s="10" t="s">
        <v>431</v>
      </c>
    </row>
    <row r="51" ht="100" customHeight="1" spans="1:12" x14ac:dyDescent="0.25">
      <c r="A51" s="15">
        <v>47</v>
      </c>
      <c r="B51" s="16" t="s">
        <v>413</v>
      </c>
      <c r="C51" s="4" t="s">
        <v>414</v>
      </c>
      <c r="D51" s="9" t="s">
        <v>432</v>
      </c>
      <c r="E51" s="4" t="s">
        <v>433</v>
      </c>
      <c r="F51" s="4" t="s">
        <v>434</v>
      </c>
      <c r="G51" s="4" t="s">
        <v>435</v>
      </c>
      <c r="H51" s="4" t="s">
        <v>436</v>
      </c>
      <c r="I51" s="4" t="s">
        <v>437</v>
      </c>
      <c r="J51" s="4" t="s">
        <v>438</v>
      </c>
      <c r="K51" s="4" t="s">
        <v>439</v>
      </c>
      <c r="L51" s="4" t="s">
        <v>440</v>
      </c>
    </row>
    <row r="52" ht="62.5" customHeight="1" spans="1:12" x14ac:dyDescent="0.25">
      <c r="A52" s="15">
        <v>48</v>
      </c>
      <c r="B52" s="16" t="s">
        <v>413</v>
      </c>
      <c r="C52" s="10" t="s">
        <v>414</v>
      </c>
      <c r="D52" s="3" t="s">
        <v>441</v>
      </c>
      <c r="E52" s="10" t="s">
        <v>442</v>
      </c>
      <c r="F52" s="10" t="s">
        <v>443</v>
      </c>
      <c r="G52" s="10" t="s">
        <v>444</v>
      </c>
      <c r="H52" s="10" t="s">
        <v>445</v>
      </c>
      <c r="I52" s="10" t="s">
        <v>446</v>
      </c>
      <c r="J52" s="10" t="s">
        <v>447</v>
      </c>
      <c r="K52" s="10" t="s">
        <v>448</v>
      </c>
      <c r="L52" s="10" t="s">
        <v>449</v>
      </c>
    </row>
    <row r="53" ht="75" customHeight="1" spans="1:12" x14ac:dyDescent="0.25">
      <c r="A53" s="15">
        <v>49</v>
      </c>
      <c r="B53" s="16" t="s">
        <v>413</v>
      </c>
      <c r="C53" s="4" t="s">
        <v>414</v>
      </c>
      <c r="D53" s="9" t="s">
        <v>450</v>
      </c>
      <c r="E53" s="4" t="s">
        <v>451</v>
      </c>
      <c r="F53" s="4" t="s">
        <v>452</v>
      </c>
      <c r="G53" s="4" t="s">
        <v>453</v>
      </c>
      <c r="H53" s="4" t="s">
        <v>454</v>
      </c>
      <c r="I53" s="4" t="s">
        <v>455</v>
      </c>
      <c r="J53" s="4" t="s">
        <v>456</v>
      </c>
      <c r="K53" s="4" t="s">
        <v>457</v>
      </c>
      <c r="L53" s="4" t="s">
        <v>458</v>
      </c>
    </row>
    <row r="54" ht="75" customHeight="1" spans="1:12" x14ac:dyDescent="0.25">
      <c r="A54" s="15">
        <v>50</v>
      </c>
      <c r="B54" s="16" t="s">
        <v>413</v>
      </c>
      <c r="C54" s="10" t="s">
        <v>414</v>
      </c>
      <c r="D54" s="3" t="s">
        <v>459</v>
      </c>
      <c r="E54" s="10" t="s">
        <v>460</v>
      </c>
      <c r="F54" s="10" t="s">
        <v>461</v>
      </c>
      <c r="G54" s="10" t="s">
        <v>462</v>
      </c>
      <c r="H54" s="10" t="s">
        <v>463</v>
      </c>
      <c r="I54" s="10" t="s">
        <v>464</v>
      </c>
      <c r="J54" s="10" t="s">
        <v>465</v>
      </c>
      <c r="K54" s="10" t="s">
        <v>466</v>
      </c>
      <c r="L54" s="10" t="s">
        <v>467</v>
      </c>
    </row>
    <row r="55" ht="60" customHeight="1" spans="1:12" x14ac:dyDescent="0.25">
      <c r="A55" s="15">
        <v>51</v>
      </c>
      <c r="B55" s="16" t="s">
        <v>413</v>
      </c>
      <c r="C55" s="4" t="s">
        <v>414</v>
      </c>
      <c r="D55" s="9" t="s">
        <v>468</v>
      </c>
      <c r="E55" s="4" t="s">
        <v>469</v>
      </c>
      <c r="F55" s="4" t="s">
        <v>470</v>
      </c>
      <c r="G55" s="4" t="s">
        <v>471</v>
      </c>
      <c r="H55" s="4" t="s">
        <v>472</v>
      </c>
      <c r="I55" s="4" t="s">
        <v>473</v>
      </c>
      <c r="J55" s="4" t="s">
        <v>474</v>
      </c>
      <c r="K55" s="4" t="s">
        <v>475</v>
      </c>
      <c r="L55" s="4" t="s">
        <v>378</v>
      </c>
    </row>
    <row r="56" ht="87.5" customHeight="1" spans="1:12" x14ac:dyDescent="0.25">
      <c r="A56" s="15">
        <v>52</v>
      </c>
      <c r="B56" s="16" t="s">
        <v>413</v>
      </c>
      <c r="C56" s="10" t="s">
        <v>414</v>
      </c>
      <c r="D56" s="3" t="s">
        <v>476</v>
      </c>
      <c r="E56" s="10" t="s">
        <v>477</v>
      </c>
      <c r="F56" s="10" t="s">
        <v>478</v>
      </c>
      <c r="G56" s="10" t="s">
        <v>479</v>
      </c>
      <c r="H56" s="10" t="s">
        <v>480</v>
      </c>
      <c r="I56" s="10" t="s">
        <v>481</v>
      </c>
      <c r="J56" s="10" t="s">
        <v>482</v>
      </c>
      <c r="K56" s="10" t="s">
        <v>483</v>
      </c>
      <c r="L56" s="10" t="s">
        <v>484</v>
      </c>
    </row>
    <row r="57" ht="87.5" customHeight="1" spans="1:12" x14ac:dyDescent="0.25">
      <c r="A57" s="15">
        <v>53</v>
      </c>
      <c r="B57" s="16" t="s">
        <v>413</v>
      </c>
      <c r="C57" s="4" t="s">
        <v>414</v>
      </c>
      <c r="D57" s="9" t="s">
        <v>485</v>
      </c>
      <c r="E57" s="4" t="s">
        <v>486</v>
      </c>
      <c r="F57" s="4" t="s">
        <v>487</v>
      </c>
      <c r="G57" s="4" t="s">
        <v>106</v>
      </c>
      <c r="H57" s="4" t="s">
        <v>488</v>
      </c>
      <c r="I57" s="4" t="s">
        <v>489</v>
      </c>
      <c r="J57" s="4" t="s">
        <v>490</v>
      </c>
      <c r="K57" s="4" t="s">
        <v>491</v>
      </c>
      <c r="L57" s="4" t="s">
        <v>492</v>
      </c>
    </row>
    <row r="58" ht="75" customHeight="1" spans="1:12" x14ac:dyDescent="0.25">
      <c r="A58" s="15">
        <v>54</v>
      </c>
      <c r="B58" s="16" t="s">
        <v>413</v>
      </c>
      <c r="C58" s="10" t="s">
        <v>414</v>
      </c>
      <c r="D58" s="3" t="s">
        <v>493</v>
      </c>
      <c r="E58" s="10" t="s">
        <v>494</v>
      </c>
      <c r="F58" s="10" t="s">
        <v>495</v>
      </c>
      <c r="G58" s="10" t="s">
        <v>496</v>
      </c>
      <c r="H58" s="10" t="s">
        <v>497</v>
      </c>
      <c r="I58" s="10" t="s">
        <v>498</v>
      </c>
      <c r="J58" s="10" t="s">
        <v>499</v>
      </c>
      <c r="K58" s="10" t="s">
        <v>500</v>
      </c>
      <c r="L58" s="10" t="s">
        <v>501</v>
      </c>
    </row>
    <row r="59" ht="60" customHeight="1" spans="1:12" x14ac:dyDescent="0.25">
      <c r="A59" s="15">
        <v>55</v>
      </c>
      <c r="B59" s="16" t="s">
        <v>413</v>
      </c>
      <c r="C59" s="4" t="s">
        <v>414</v>
      </c>
      <c r="D59" s="9" t="s">
        <v>502</v>
      </c>
      <c r="E59" s="4" t="s">
        <v>503</v>
      </c>
      <c r="F59" s="4" t="s">
        <v>504</v>
      </c>
      <c r="G59" s="4" t="s">
        <v>258</v>
      </c>
      <c r="H59" s="4" t="s">
        <v>505</v>
      </c>
      <c r="I59" s="4" t="s">
        <v>506</v>
      </c>
      <c r="J59" s="4" t="s">
        <v>507</v>
      </c>
      <c r="K59" s="4" t="s">
        <v>508</v>
      </c>
      <c r="L59" s="4" t="s">
        <v>509</v>
      </c>
    </row>
    <row r="60" ht="60" customHeight="1" spans="1:12" x14ac:dyDescent="0.25">
      <c r="A60" s="15">
        <v>56</v>
      </c>
      <c r="B60" s="16" t="s">
        <v>413</v>
      </c>
      <c r="C60" s="10" t="s">
        <v>414</v>
      </c>
      <c r="D60" s="3" t="s">
        <v>510</v>
      </c>
      <c r="E60" s="10" t="s">
        <v>511</v>
      </c>
      <c r="F60" s="10" t="s">
        <v>512</v>
      </c>
      <c r="G60" s="10" t="s">
        <v>258</v>
      </c>
      <c r="H60" s="10" t="s">
        <v>513</v>
      </c>
      <c r="I60" s="10" t="s">
        <v>514</v>
      </c>
      <c r="J60" s="10" t="s">
        <v>515</v>
      </c>
      <c r="K60" s="10" t="s">
        <v>516</v>
      </c>
      <c r="L60" s="10" t="s">
        <v>517</v>
      </c>
    </row>
    <row r="61" ht="75" customHeight="1" spans="1:12" x14ac:dyDescent="0.25">
      <c r="A61" s="15">
        <v>57</v>
      </c>
      <c r="B61" s="16" t="s">
        <v>413</v>
      </c>
      <c r="C61" s="4" t="s">
        <v>414</v>
      </c>
      <c r="D61" s="9" t="s">
        <v>518</v>
      </c>
      <c r="E61" s="4" t="s">
        <v>519</v>
      </c>
      <c r="F61" s="4" t="s">
        <v>520</v>
      </c>
      <c r="G61" s="4" t="s">
        <v>258</v>
      </c>
      <c r="H61" s="4" t="s">
        <v>521</v>
      </c>
      <c r="I61" s="4" t="s">
        <v>522</v>
      </c>
      <c r="J61" s="4" t="s">
        <v>523</v>
      </c>
      <c r="K61" s="4" t="s">
        <v>524</v>
      </c>
      <c r="L61" s="4" t="s">
        <v>525</v>
      </c>
    </row>
    <row r="62" ht="87.5" customHeight="1" spans="1:12" x14ac:dyDescent="0.25">
      <c r="A62" s="15">
        <v>58</v>
      </c>
      <c r="B62" s="16" t="s">
        <v>413</v>
      </c>
      <c r="C62" s="10" t="s">
        <v>414</v>
      </c>
      <c r="D62" s="3" t="s">
        <v>526</v>
      </c>
      <c r="E62" s="10" t="s">
        <v>527</v>
      </c>
      <c r="F62" s="10" t="s">
        <v>528</v>
      </c>
      <c r="G62" s="10" t="s">
        <v>529</v>
      </c>
      <c r="H62" s="10" t="s">
        <v>530</v>
      </c>
      <c r="I62" s="10" t="s">
        <v>531</v>
      </c>
      <c r="J62" s="10" t="s">
        <v>532</v>
      </c>
      <c r="K62" s="10" t="s">
        <v>533</v>
      </c>
      <c r="L62" s="10" t="s">
        <v>534</v>
      </c>
    </row>
    <row r="63" ht="62.5" customHeight="1" spans="1:12" x14ac:dyDescent="0.25">
      <c r="A63" s="15">
        <v>59</v>
      </c>
      <c r="B63" s="16" t="s">
        <v>413</v>
      </c>
      <c r="C63" s="4" t="s">
        <v>414</v>
      </c>
      <c r="D63" s="9" t="s">
        <v>535</v>
      </c>
      <c r="E63" s="4" t="s">
        <v>536</v>
      </c>
      <c r="F63" s="4" t="s">
        <v>537</v>
      </c>
      <c r="G63" s="4" t="s">
        <v>106</v>
      </c>
      <c r="H63" s="4" t="s">
        <v>538</v>
      </c>
      <c r="I63" s="4" t="s">
        <v>539</v>
      </c>
      <c r="J63" s="4" t="s">
        <v>540</v>
      </c>
      <c r="K63" s="4" t="s">
        <v>541</v>
      </c>
      <c r="L63" s="4" t="s">
        <v>542</v>
      </c>
    </row>
    <row r="64" ht="87.5" customHeight="1" spans="1:12" x14ac:dyDescent="0.25">
      <c r="A64" s="15">
        <v>60</v>
      </c>
      <c r="B64" s="16" t="s">
        <v>413</v>
      </c>
      <c r="C64" s="10" t="s">
        <v>543</v>
      </c>
      <c r="D64" s="3" t="s">
        <v>544</v>
      </c>
      <c r="E64" s="10" t="s">
        <v>545</v>
      </c>
      <c r="F64" s="10" t="s">
        <v>546</v>
      </c>
      <c r="G64" s="10" t="s">
        <v>547</v>
      </c>
      <c r="H64" s="10" t="s">
        <v>548</v>
      </c>
      <c r="I64" s="10" t="s">
        <v>549</v>
      </c>
      <c r="J64" s="10" t="s">
        <v>550</v>
      </c>
      <c r="K64" s="10" t="s">
        <v>551</v>
      </c>
      <c r="L64" s="10" t="s">
        <v>552</v>
      </c>
    </row>
    <row r="65" ht="62.5" customHeight="1" spans="1:12" x14ac:dyDescent="0.25">
      <c r="A65" s="15">
        <v>61</v>
      </c>
      <c r="B65" s="16" t="s">
        <v>413</v>
      </c>
      <c r="C65" s="4" t="s">
        <v>543</v>
      </c>
      <c r="D65" s="9" t="s">
        <v>553</v>
      </c>
      <c r="E65" s="4" t="s">
        <v>554</v>
      </c>
      <c r="F65" s="4" t="s">
        <v>555</v>
      </c>
      <c r="G65" s="4" t="s">
        <v>556</v>
      </c>
      <c r="H65" s="4" t="s">
        <v>557</v>
      </c>
      <c r="I65" s="4" t="s">
        <v>558</v>
      </c>
      <c r="J65" s="4" t="s">
        <v>559</v>
      </c>
      <c r="K65" s="4" t="s">
        <v>560</v>
      </c>
      <c r="L65" s="4" t="s">
        <v>561</v>
      </c>
    </row>
    <row r="66" ht="100" customHeight="1" spans="1:12" x14ac:dyDescent="0.25">
      <c r="A66" s="15">
        <v>62</v>
      </c>
      <c r="B66" s="16" t="s">
        <v>413</v>
      </c>
      <c r="C66" s="10" t="s">
        <v>562</v>
      </c>
      <c r="D66" s="3" t="s">
        <v>563</v>
      </c>
      <c r="E66" s="10" t="s">
        <v>564</v>
      </c>
      <c r="F66" s="10" t="s">
        <v>565</v>
      </c>
      <c r="G66" s="10" t="s">
        <v>566</v>
      </c>
      <c r="H66" s="10" t="s">
        <v>567</v>
      </c>
      <c r="I66" s="10" t="s">
        <v>568</v>
      </c>
      <c r="J66" s="10" t="s">
        <v>569</v>
      </c>
      <c r="K66" s="10" t="s">
        <v>570</v>
      </c>
      <c r="L66" s="10" t="s">
        <v>571</v>
      </c>
    </row>
    <row r="67" ht="100" customHeight="1" spans="1:12" x14ac:dyDescent="0.25">
      <c r="A67" s="17">
        <v>63</v>
      </c>
      <c r="B67" s="18" t="s">
        <v>572</v>
      </c>
      <c r="C67" s="4" t="s">
        <v>573</v>
      </c>
      <c r="D67" s="9" t="s">
        <v>574</v>
      </c>
      <c r="E67" s="4" t="s">
        <v>575</v>
      </c>
      <c r="F67" s="4" t="s">
        <v>576</v>
      </c>
      <c r="G67" s="4" t="s">
        <v>577</v>
      </c>
      <c r="H67" s="4" t="s">
        <v>578</v>
      </c>
      <c r="I67" s="4" t="s">
        <v>579</v>
      </c>
      <c r="J67" s="4" t="s">
        <v>580</v>
      </c>
      <c r="K67" s="4" t="s">
        <v>581</v>
      </c>
      <c r="L67" s="4" t="s">
        <v>582</v>
      </c>
    </row>
    <row r="68" ht="100" customHeight="1" spans="1:12" x14ac:dyDescent="0.25">
      <c r="A68" s="17">
        <v>64</v>
      </c>
      <c r="B68" s="18" t="s">
        <v>572</v>
      </c>
      <c r="C68" s="10" t="s">
        <v>573</v>
      </c>
      <c r="D68" s="3" t="s">
        <v>583</v>
      </c>
      <c r="E68" s="10" t="s">
        <v>584</v>
      </c>
      <c r="F68" s="10" t="s">
        <v>585</v>
      </c>
      <c r="G68" s="10" t="s">
        <v>586</v>
      </c>
      <c r="H68" s="10" t="s">
        <v>587</v>
      </c>
      <c r="I68" s="10" t="s">
        <v>588</v>
      </c>
      <c r="J68" s="10" t="s">
        <v>589</v>
      </c>
      <c r="K68" s="10" t="s">
        <v>590</v>
      </c>
      <c r="L68" s="10" t="s">
        <v>591</v>
      </c>
    </row>
    <row r="69" ht="87.5" customHeight="1" spans="1:12" x14ac:dyDescent="0.25">
      <c r="A69" s="17">
        <v>65</v>
      </c>
      <c r="B69" s="18" t="s">
        <v>572</v>
      </c>
      <c r="C69" s="4" t="s">
        <v>592</v>
      </c>
      <c r="D69" s="9" t="s">
        <v>593</v>
      </c>
      <c r="E69" s="4" t="s">
        <v>594</v>
      </c>
      <c r="F69" s="4" t="s">
        <v>595</v>
      </c>
      <c r="G69" s="4" t="s">
        <v>596</v>
      </c>
      <c r="H69" s="4" t="s">
        <v>597</v>
      </c>
      <c r="I69" s="4" t="s">
        <v>598</v>
      </c>
      <c r="J69" s="4" t="s">
        <v>599</v>
      </c>
      <c r="K69" s="4" t="s">
        <v>600</v>
      </c>
      <c r="L69" s="4" t="s">
        <v>601</v>
      </c>
    </row>
    <row r="70" ht="62.5" customHeight="1" spans="1:12" x14ac:dyDescent="0.25">
      <c r="A70" s="17">
        <v>66</v>
      </c>
      <c r="B70" s="18" t="s">
        <v>572</v>
      </c>
      <c r="C70" s="10" t="s">
        <v>592</v>
      </c>
      <c r="D70" s="3" t="s">
        <v>602</v>
      </c>
      <c r="E70" s="10" t="s">
        <v>603</v>
      </c>
      <c r="F70" s="10" t="s">
        <v>604</v>
      </c>
      <c r="G70" s="10" t="s">
        <v>605</v>
      </c>
      <c r="H70" s="10" t="s">
        <v>606</v>
      </c>
      <c r="I70" s="10" t="s">
        <v>607</v>
      </c>
      <c r="J70" s="10" t="s">
        <v>608</v>
      </c>
      <c r="K70" s="10" t="s">
        <v>609</v>
      </c>
      <c r="L70" s="10" t="s">
        <v>610</v>
      </c>
    </row>
    <row r="71" ht="100" customHeight="1" spans="1:12" x14ac:dyDescent="0.25">
      <c r="A71" s="17">
        <v>67</v>
      </c>
      <c r="B71" s="18" t="s">
        <v>572</v>
      </c>
      <c r="C71" s="4" t="s">
        <v>592</v>
      </c>
      <c r="D71" s="9" t="s">
        <v>611</v>
      </c>
      <c r="E71" s="4" t="s">
        <v>612</v>
      </c>
      <c r="F71" s="4" t="s">
        <v>604</v>
      </c>
      <c r="G71" s="4" t="s">
        <v>613</v>
      </c>
      <c r="H71" s="4" t="s">
        <v>614</v>
      </c>
      <c r="I71" s="4" t="s">
        <v>615</v>
      </c>
      <c r="J71" s="4" t="s">
        <v>616</v>
      </c>
      <c r="K71" s="4" t="s">
        <v>617</v>
      </c>
      <c r="L71" s="4" t="s">
        <v>618</v>
      </c>
    </row>
    <row r="72" ht="112.5" customHeight="1" spans="1:12" x14ac:dyDescent="0.25">
      <c r="A72" s="17">
        <v>68</v>
      </c>
      <c r="B72" s="18" t="s">
        <v>572</v>
      </c>
      <c r="C72" s="10" t="s">
        <v>592</v>
      </c>
      <c r="D72" s="3" t="s">
        <v>619</v>
      </c>
      <c r="E72" s="10" t="s">
        <v>620</v>
      </c>
      <c r="F72" s="10" t="s">
        <v>621</v>
      </c>
      <c r="G72" s="10" t="s">
        <v>622</v>
      </c>
      <c r="H72" s="10" t="s">
        <v>623</v>
      </c>
      <c r="I72" s="10" t="s">
        <v>624</v>
      </c>
      <c r="J72" s="10" t="s">
        <v>625</v>
      </c>
      <c r="K72" s="10" t="s">
        <v>626</v>
      </c>
      <c r="L72" s="10" t="s">
        <v>627</v>
      </c>
    </row>
    <row r="73" ht="60" customHeight="1" spans="1:12" x14ac:dyDescent="0.25">
      <c r="A73" s="17">
        <v>69</v>
      </c>
      <c r="B73" s="18" t="s">
        <v>572</v>
      </c>
      <c r="C73" s="4" t="s">
        <v>592</v>
      </c>
      <c r="D73" s="9" t="s">
        <v>628</v>
      </c>
      <c r="E73" s="4" t="s">
        <v>629</v>
      </c>
      <c r="F73" s="4" t="s">
        <v>604</v>
      </c>
      <c r="G73" s="4" t="s">
        <v>630</v>
      </c>
      <c r="H73" s="4" t="s">
        <v>631</v>
      </c>
      <c r="I73" s="4" t="s">
        <v>632</v>
      </c>
      <c r="J73" s="4" t="s">
        <v>633</v>
      </c>
      <c r="K73" s="4" t="s">
        <v>634</v>
      </c>
      <c r="L73" s="4" t="s">
        <v>635</v>
      </c>
    </row>
    <row r="74" ht="62.5" customHeight="1" spans="1:12" x14ac:dyDescent="0.25">
      <c r="A74" s="17">
        <v>70</v>
      </c>
      <c r="B74" s="18" t="s">
        <v>572</v>
      </c>
      <c r="C74" s="10" t="s">
        <v>592</v>
      </c>
      <c r="D74" s="3" t="s">
        <v>636</v>
      </c>
      <c r="E74" s="10" t="s">
        <v>637</v>
      </c>
      <c r="F74" s="10" t="s">
        <v>604</v>
      </c>
      <c r="G74" s="10" t="s">
        <v>638</v>
      </c>
      <c r="H74" s="10" t="s">
        <v>639</v>
      </c>
      <c r="I74" s="10" t="s">
        <v>640</v>
      </c>
      <c r="J74" s="10" t="s">
        <v>641</v>
      </c>
      <c r="K74" s="10" t="s">
        <v>642</v>
      </c>
      <c r="L74" s="10" t="s">
        <v>643</v>
      </c>
    </row>
    <row r="75" ht="62.5" customHeight="1" spans="1:12" x14ac:dyDescent="0.25">
      <c r="A75" s="17">
        <v>71</v>
      </c>
      <c r="B75" s="18" t="s">
        <v>572</v>
      </c>
      <c r="C75" s="4" t="s">
        <v>592</v>
      </c>
      <c r="D75" s="9" t="s">
        <v>644</v>
      </c>
      <c r="E75" s="4" t="s">
        <v>645</v>
      </c>
      <c r="F75" s="4" t="s">
        <v>604</v>
      </c>
      <c r="G75" s="4" t="s">
        <v>638</v>
      </c>
      <c r="H75" s="4" t="s">
        <v>646</v>
      </c>
      <c r="I75" s="4" t="s">
        <v>647</v>
      </c>
      <c r="J75" s="4" t="s">
        <v>648</v>
      </c>
      <c r="K75" s="4" t="s">
        <v>649</v>
      </c>
      <c r="L75" s="4" t="s">
        <v>650</v>
      </c>
    </row>
    <row r="76" ht="87.5" customHeight="1" spans="1:12" x14ac:dyDescent="0.25">
      <c r="A76" s="17">
        <v>72</v>
      </c>
      <c r="B76" s="18" t="s">
        <v>572</v>
      </c>
      <c r="C76" s="10" t="s">
        <v>592</v>
      </c>
      <c r="D76" s="3" t="s">
        <v>651</v>
      </c>
      <c r="E76" s="10" t="s">
        <v>652</v>
      </c>
      <c r="F76" s="10" t="s">
        <v>653</v>
      </c>
      <c r="G76" s="10" t="s">
        <v>654</v>
      </c>
      <c r="H76" s="10" t="s">
        <v>655</v>
      </c>
      <c r="I76" s="10" t="s">
        <v>656</v>
      </c>
      <c r="J76" s="10" t="s">
        <v>657</v>
      </c>
      <c r="K76" s="10" t="s">
        <v>658</v>
      </c>
      <c r="L76" s="10" t="s">
        <v>635</v>
      </c>
    </row>
    <row r="77" ht="87.5" customHeight="1" spans="1:12" x14ac:dyDescent="0.25">
      <c r="A77" s="17">
        <v>73</v>
      </c>
      <c r="B77" s="18" t="s">
        <v>572</v>
      </c>
      <c r="C77" s="4" t="s">
        <v>592</v>
      </c>
      <c r="D77" s="9" t="s">
        <v>659</v>
      </c>
      <c r="E77" s="4" t="s">
        <v>660</v>
      </c>
      <c r="F77" s="4" t="s">
        <v>661</v>
      </c>
      <c r="G77" s="4" t="s">
        <v>577</v>
      </c>
      <c r="H77" s="4" t="s">
        <v>662</v>
      </c>
      <c r="I77" s="4" t="s">
        <v>663</v>
      </c>
      <c r="J77" s="4" t="s">
        <v>664</v>
      </c>
      <c r="K77" s="4" t="s">
        <v>665</v>
      </c>
      <c r="L77" s="4" t="s">
        <v>666</v>
      </c>
    </row>
    <row r="78" ht="125" customHeight="1" spans="1:12" x14ac:dyDescent="0.25">
      <c r="A78" s="17">
        <v>74</v>
      </c>
      <c r="B78" s="18" t="s">
        <v>572</v>
      </c>
      <c r="C78" s="10" t="s">
        <v>667</v>
      </c>
      <c r="D78" s="3" t="s">
        <v>668</v>
      </c>
      <c r="E78" s="10" t="s">
        <v>669</v>
      </c>
      <c r="F78" s="10" t="s">
        <v>670</v>
      </c>
      <c r="G78" s="10" t="s">
        <v>671</v>
      </c>
      <c r="H78" s="10" t="s">
        <v>672</v>
      </c>
      <c r="I78" s="10" t="s">
        <v>673</v>
      </c>
      <c r="J78" s="10" t="s">
        <v>674</v>
      </c>
      <c r="K78" s="10" t="s">
        <v>675</v>
      </c>
      <c r="L78" s="10" t="s">
        <v>676</v>
      </c>
    </row>
    <row r="79" ht="75" customHeight="1" spans="1:12" x14ac:dyDescent="0.25">
      <c r="A79" s="17">
        <v>75</v>
      </c>
      <c r="B79" s="18" t="s">
        <v>572</v>
      </c>
      <c r="C79" s="4" t="s">
        <v>667</v>
      </c>
      <c r="D79" s="9" t="s">
        <v>677</v>
      </c>
      <c r="E79" s="4" t="s">
        <v>678</v>
      </c>
      <c r="F79" s="4" t="s">
        <v>679</v>
      </c>
      <c r="G79" s="4" t="s">
        <v>680</v>
      </c>
      <c r="H79" s="4" t="s">
        <v>681</v>
      </c>
      <c r="I79" s="4" t="s">
        <v>682</v>
      </c>
      <c r="J79" s="4" t="s">
        <v>683</v>
      </c>
      <c r="K79" s="4" t="s">
        <v>684</v>
      </c>
      <c r="L79" s="4" t="s">
        <v>685</v>
      </c>
    </row>
    <row r="80" ht="75" customHeight="1" spans="1:12" x14ac:dyDescent="0.25">
      <c r="A80" s="19">
        <v>76</v>
      </c>
      <c r="B80" s="20" t="s">
        <v>686</v>
      </c>
      <c r="C80" s="10" t="s">
        <v>686</v>
      </c>
      <c r="D80" s="3" t="s">
        <v>687</v>
      </c>
      <c r="E80" s="10" t="s">
        <v>688</v>
      </c>
      <c r="F80" s="10" t="s">
        <v>689</v>
      </c>
      <c r="G80" s="10" t="s">
        <v>690</v>
      </c>
      <c r="H80" s="10" t="s">
        <v>691</v>
      </c>
      <c r="I80" s="10" t="s">
        <v>692</v>
      </c>
      <c r="J80" s="10" t="s">
        <v>693</v>
      </c>
      <c r="K80" s="10" t="s">
        <v>694</v>
      </c>
      <c r="L80" s="10" t="s">
        <v>695</v>
      </c>
    </row>
    <row r="81" ht="137.5" customHeight="1" spans="1:12" x14ac:dyDescent="0.25">
      <c r="A81" s="19">
        <v>77</v>
      </c>
      <c r="B81" s="20" t="s">
        <v>686</v>
      </c>
      <c r="C81" s="4" t="s">
        <v>686</v>
      </c>
      <c r="D81" s="9" t="s">
        <v>696</v>
      </c>
      <c r="E81" s="4" t="s">
        <v>697</v>
      </c>
      <c r="F81" s="4" t="s">
        <v>698</v>
      </c>
      <c r="G81" s="4" t="s">
        <v>699</v>
      </c>
      <c r="H81" s="4" t="s">
        <v>700</v>
      </c>
      <c r="I81" s="4" t="s">
        <v>701</v>
      </c>
      <c r="J81" s="4" t="s">
        <v>702</v>
      </c>
      <c r="K81" s="4" t="s">
        <v>703</v>
      </c>
      <c r="L81" s="4" t="s">
        <v>704</v>
      </c>
    </row>
    <row r="82" ht="60" customHeight="1" spans="1:12" x14ac:dyDescent="0.25">
      <c r="A82" s="21">
        <v>78</v>
      </c>
      <c r="B82" s="22" t="s">
        <v>705</v>
      </c>
      <c r="C82" s="10" t="s">
        <v>706</v>
      </c>
      <c r="D82" s="3" t="s">
        <v>707</v>
      </c>
      <c r="E82" s="10" t="s">
        <v>708</v>
      </c>
      <c r="F82" s="10" t="s">
        <v>709</v>
      </c>
      <c r="G82" s="10" t="s">
        <v>710</v>
      </c>
      <c r="H82" s="10" t="s">
        <v>711</v>
      </c>
      <c r="I82" s="10" t="s">
        <v>712</v>
      </c>
      <c r="J82" s="10" t="s">
        <v>713</v>
      </c>
      <c r="K82" s="10" t="s">
        <v>714</v>
      </c>
      <c r="L82" s="10" t="s">
        <v>715</v>
      </c>
    </row>
    <row r="83" ht="87.5" customHeight="1" spans="1:12" x14ac:dyDescent="0.25">
      <c r="A83" s="21">
        <v>79</v>
      </c>
      <c r="B83" s="22" t="s">
        <v>705</v>
      </c>
      <c r="C83" s="4" t="s">
        <v>706</v>
      </c>
      <c r="D83" s="9" t="s">
        <v>716</v>
      </c>
      <c r="E83" s="4" t="s">
        <v>717</v>
      </c>
      <c r="F83" s="4" t="s">
        <v>718</v>
      </c>
      <c r="G83" s="4" t="s">
        <v>710</v>
      </c>
      <c r="H83" s="4" t="s">
        <v>719</v>
      </c>
      <c r="I83" s="4" t="s">
        <v>720</v>
      </c>
      <c r="J83" s="4" t="s">
        <v>721</v>
      </c>
      <c r="K83" s="4" t="s">
        <v>722</v>
      </c>
      <c r="L83" s="4" t="s">
        <v>723</v>
      </c>
    </row>
    <row r="84" ht="60" customHeight="1" spans="1:12" x14ac:dyDescent="0.25">
      <c r="A84" s="21">
        <v>80</v>
      </c>
      <c r="B84" s="22" t="s">
        <v>705</v>
      </c>
      <c r="C84" s="10" t="s">
        <v>706</v>
      </c>
      <c r="D84" s="3" t="s">
        <v>724</v>
      </c>
      <c r="E84" s="10" t="s">
        <v>725</v>
      </c>
      <c r="F84" s="10" t="s">
        <v>718</v>
      </c>
      <c r="G84" s="10" t="s">
        <v>726</v>
      </c>
      <c r="H84" s="10" t="s">
        <v>727</v>
      </c>
      <c r="I84" s="10" t="s">
        <v>728</v>
      </c>
      <c r="J84" s="10" t="s">
        <v>729</v>
      </c>
      <c r="K84" s="10" t="s">
        <v>730</v>
      </c>
      <c r="L84" s="10" t="s">
        <v>731</v>
      </c>
    </row>
    <row r="85" ht="87.5" customHeight="1" spans="1:12" x14ac:dyDescent="0.25">
      <c r="A85" s="21">
        <v>81</v>
      </c>
      <c r="B85" s="22" t="s">
        <v>705</v>
      </c>
      <c r="C85" s="4" t="s">
        <v>706</v>
      </c>
      <c r="D85" s="9" t="s">
        <v>732</v>
      </c>
      <c r="E85" s="4" t="s">
        <v>733</v>
      </c>
      <c r="F85" s="4" t="s">
        <v>734</v>
      </c>
      <c r="G85" s="4" t="s">
        <v>735</v>
      </c>
      <c r="H85" s="4" t="s">
        <v>736</v>
      </c>
      <c r="I85" s="4" t="s">
        <v>737</v>
      </c>
      <c r="J85" s="4" t="s">
        <v>738</v>
      </c>
      <c r="K85" s="4" t="s">
        <v>739</v>
      </c>
      <c r="L85" s="4" t="s">
        <v>740</v>
      </c>
    </row>
    <row r="86" ht="60" customHeight="1" spans="1:12" x14ac:dyDescent="0.25">
      <c r="A86" s="21">
        <v>82</v>
      </c>
      <c r="B86" s="22" t="s">
        <v>705</v>
      </c>
      <c r="C86" s="10" t="s">
        <v>706</v>
      </c>
      <c r="D86" s="3" t="s">
        <v>741</v>
      </c>
      <c r="E86" s="10" t="s">
        <v>742</v>
      </c>
      <c r="F86" s="10" t="s">
        <v>734</v>
      </c>
      <c r="G86" s="10" t="s">
        <v>743</v>
      </c>
      <c r="H86" s="10" t="s">
        <v>744</v>
      </c>
      <c r="I86" s="10" t="s">
        <v>745</v>
      </c>
      <c r="J86" s="10" t="s">
        <v>746</v>
      </c>
      <c r="K86" s="10" t="s">
        <v>747</v>
      </c>
      <c r="L86" s="10" t="s">
        <v>748</v>
      </c>
    </row>
    <row r="87" ht="60" customHeight="1" spans="1:12" x14ac:dyDescent="0.25">
      <c r="A87" s="21">
        <v>83</v>
      </c>
      <c r="B87" s="22" t="s">
        <v>705</v>
      </c>
      <c r="C87" s="4" t="s">
        <v>749</v>
      </c>
      <c r="D87" s="9" t="s">
        <v>750</v>
      </c>
      <c r="E87" s="4" t="s">
        <v>751</v>
      </c>
      <c r="F87" s="4" t="s">
        <v>752</v>
      </c>
      <c r="G87" s="4" t="s">
        <v>753</v>
      </c>
      <c r="H87" s="4" t="s">
        <v>754</v>
      </c>
      <c r="I87" s="4" t="s">
        <v>755</v>
      </c>
      <c r="J87" s="4" t="s">
        <v>756</v>
      </c>
      <c r="K87" s="4" t="s">
        <v>757</v>
      </c>
      <c r="L87" s="4" t="s">
        <v>758</v>
      </c>
    </row>
    <row r="88" ht="75" customHeight="1" spans="1:12" x14ac:dyDescent="0.25">
      <c r="A88" s="21">
        <v>84</v>
      </c>
      <c r="B88" s="22" t="s">
        <v>705</v>
      </c>
      <c r="C88" s="10" t="s">
        <v>749</v>
      </c>
      <c r="D88" s="3" t="s">
        <v>759</v>
      </c>
      <c r="E88" s="10" t="s">
        <v>760</v>
      </c>
      <c r="F88" s="10" t="s">
        <v>761</v>
      </c>
      <c r="G88" s="10" t="s">
        <v>753</v>
      </c>
      <c r="H88" s="10" t="s">
        <v>762</v>
      </c>
      <c r="I88" s="10" t="s">
        <v>763</v>
      </c>
      <c r="J88" s="10" t="s">
        <v>764</v>
      </c>
      <c r="K88" s="10" t="s">
        <v>747</v>
      </c>
      <c r="L88" s="10" t="s">
        <v>765</v>
      </c>
    </row>
    <row r="89" ht="62.5" customHeight="1" spans="1:12" x14ac:dyDescent="0.25">
      <c r="A89" s="21">
        <v>85</v>
      </c>
      <c r="B89" s="22" t="s">
        <v>705</v>
      </c>
      <c r="C89" s="4" t="s">
        <v>749</v>
      </c>
      <c r="D89" s="9" t="s">
        <v>766</v>
      </c>
      <c r="E89" s="4" t="s">
        <v>767</v>
      </c>
      <c r="F89" s="4" t="s">
        <v>761</v>
      </c>
      <c r="G89" s="4" t="s">
        <v>753</v>
      </c>
      <c r="H89" s="4" t="s">
        <v>768</v>
      </c>
      <c r="I89" s="4" t="s">
        <v>769</v>
      </c>
      <c r="J89" s="4" t="s">
        <v>770</v>
      </c>
      <c r="K89" s="4" t="s">
        <v>747</v>
      </c>
      <c r="L89" s="4" t="s">
        <v>771</v>
      </c>
    </row>
    <row r="90" ht="62.5" customHeight="1" spans="1:12" x14ac:dyDescent="0.25">
      <c r="A90" s="21">
        <v>86</v>
      </c>
      <c r="B90" s="22" t="s">
        <v>705</v>
      </c>
      <c r="C90" s="10" t="s">
        <v>749</v>
      </c>
      <c r="D90" s="3" t="s">
        <v>772</v>
      </c>
      <c r="E90" s="10" t="s">
        <v>773</v>
      </c>
      <c r="F90" s="10" t="s">
        <v>761</v>
      </c>
      <c r="G90" s="10" t="s">
        <v>753</v>
      </c>
      <c r="H90" s="10" t="s">
        <v>774</v>
      </c>
      <c r="I90" s="10" t="s">
        <v>775</v>
      </c>
      <c r="J90" s="10" t="s">
        <v>776</v>
      </c>
      <c r="K90" s="10" t="s">
        <v>747</v>
      </c>
      <c r="L90" s="10" t="s">
        <v>777</v>
      </c>
    </row>
    <row r="91" ht="60" customHeight="1" spans="1:12" x14ac:dyDescent="0.25">
      <c r="A91" s="21">
        <v>87</v>
      </c>
      <c r="B91" s="22" t="s">
        <v>705</v>
      </c>
      <c r="C91" s="4" t="s">
        <v>749</v>
      </c>
      <c r="D91" s="9" t="s">
        <v>778</v>
      </c>
      <c r="E91" s="4" t="s">
        <v>779</v>
      </c>
      <c r="F91" s="4" t="s">
        <v>761</v>
      </c>
      <c r="G91" s="4" t="s">
        <v>753</v>
      </c>
      <c r="H91" s="4" t="s">
        <v>780</v>
      </c>
      <c r="I91" s="4" t="s">
        <v>781</v>
      </c>
      <c r="J91" s="4" t="s">
        <v>782</v>
      </c>
      <c r="K91" s="4" t="s">
        <v>747</v>
      </c>
      <c r="L91" s="4" t="s">
        <v>783</v>
      </c>
    </row>
    <row r="92" ht="60" customHeight="1" spans="1:12" x14ac:dyDescent="0.25">
      <c r="A92" s="21">
        <v>88</v>
      </c>
      <c r="B92" s="22" t="s">
        <v>705</v>
      </c>
      <c r="C92" s="10" t="s">
        <v>784</v>
      </c>
      <c r="D92" s="3" t="s">
        <v>785</v>
      </c>
      <c r="E92" s="10" t="s">
        <v>786</v>
      </c>
      <c r="F92" s="10" t="s">
        <v>787</v>
      </c>
      <c r="G92" s="10" t="s">
        <v>788</v>
      </c>
      <c r="H92" s="10" t="s">
        <v>789</v>
      </c>
      <c r="I92" s="10" t="s">
        <v>790</v>
      </c>
      <c r="J92" s="10" t="s">
        <v>791</v>
      </c>
      <c r="K92" s="10" t="s">
        <v>792</v>
      </c>
      <c r="L92" s="10" t="s">
        <v>786</v>
      </c>
    </row>
  </sheetData>
  <autoFilter ref="A4:L92"/>
  <mergeCells count="2">
    <mergeCell ref="A1:L1"/>
    <mergeCell ref="A2:L2"/>
  </mergeCells>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8"/>
  <sheetViews>
    <sheetView workbookViewId="0" showGridLines="0">
      <pane ySplit="4" topLeftCell="A5" activePane="bottomLeft" state="frozen"/>
      <selection pane="bottomLeft"/>
    </sheetView>
  </sheetViews>
  <sheetFormatPr defaultRowHeight="15" outlineLevelRow="0" outlineLevelCol="0" x14ac:dyDescent="55"/>
  <cols>
    <col min="1" max="1" width="26" customWidth="1"/>
    <col min="2" max="2" width="30" customWidth="1"/>
    <col min="3" max="3" width="70" customWidth="1"/>
    <col min="4" max="4" width="36" customWidth="1"/>
    <col min="5" max="5" width="52" customWidth="1"/>
    <col min="6" max="6" width="34" customWidth="1"/>
  </cols>
  <sheetData>
    <row r="1" ht="26" customHeight="1" spans="1:6" x14ac:dyDescent="0.25">
      <c r="A1" s="1" t="s">
        <v>793</v>
      </c>
      <c r="B1" s="1"/>
      <c r="C1" s="1"/>
      <c r="D1" s="1"/>
      <c r="E1" s="1"/>
      <c r="F1" s="1"/>
    </row>
    <row r="2" ht="30" customHeight="1" spans="1:6" x14ac:dyDescent="0.25">
      <c r="A2" s="2" t="s">
        <v>794</v>
      </c>
      <c r="B2" s="2"/>
      <c r="C2" s="2"/>
      <c r="D2" s="2"/>
      <c r="E2" s="2"/>
      <c r="F2" s="2"/>
    </row>
    <row r="4" ht="32" customHeight="1" spans="1:6" x14ac:dyDescent="0.25">
      <c r="A4" s="6" t="s">
        <v>795</v>
      </c>
      <c r="B4" s="6" t="s">
        <v>796</v>
      </c>
      <c r="C4" s="6" t="s">
        <v>797</v>
      </c>
      <c r="D4" s="6" t="s">
        <v>27</v>
      </c>
      <c r="E4" s="6" t="s">
        <v>798</v>
      </c>
      <c r="F4" s="6" t="s">
        <v>799</v>
      </c>
    </row>
    <row r="5" ht="62.5" customHeight="1" spans="1:6" x14ac:dyDescent="0.25">
      <c r="A5" s="3" t="s">
        <v>800</v>
      </c>
      <c r="B5" s="4" t="s">
        <v>801</v>
      </c>
      <c r="C5" s="4" t="s">
        <v>802</v>
      </c>
      <c r="D5" s="4" t="s">
        <v>803</v>
      </c>
      <c r="E5" s="4" t="s">
        <v>804</v>
      </c>
      <c r="F5" s="4" t="s">
        <v>805</v>
      </c>
    </row>
    <row r="6" ht="50" customHeight="1" spans="1:6" x14ac:dyDescent="0.25">
      <c r="A6" s="3" t="s">
        <v>806</v>
      </c>
      <c r="B6" s="4" t="s">
        <v>807</v>
      </c>
      <c r="C6" s="4" t="s">
        <v>808</v>
      </c>
      <c r="D6" s="4" t="s">
        <v>809</v>
      </c>
      <c r="E6" s="4" t="s">
        <v>810</v>
      </c>
      <c r="F6" s="4" t="s">
        <v>805</v>
      </c>
    </row>
    <row r="7" ht="50" customHeight="1" spans="1:6" x14ac:dyDescent="0.25">
      <c r="A7" s="3" t="s">
        <v>811</v>
      </c>
      <c r="B7" s="4" t="s">
        <v>812</v>
      </c>
      <c r="C7" s="4" t="s">
        <v>813</v>
      </c>
      <c r="D7" s="4" t="s">
        <v>814</v>
      </c>
      <c r="E7" s="4" t="s">
        <v>815</v>
      </c>
      <c r="F7" s="4" t="s">
        <v>816</v>
      </c>
    </row>
    <row r="8" ht="45" customHeight="1" spans="1:6" x14ac:dyDescent="0.25">
      <c r="A8" s="3" t="s">
        <v>817</v>
      </c>
      <c r="B8" s="4" t="s">
        <v>818</v>
      </c>
      <c r="C8" s="4" t="s">
        <v>819</v>
      </c>
      <c r="D8" s="4" t="s">
        <v>820</v>
      </c>
      <c r="E8" s="4" t="s">
        <v>821</v>
      </c>
      <c r="F8" s="4" t="s">
        <v>822</v>
      </c>
    </row>
    <row r="9" ht="45" customHeight="1" spans="1:6" x14ac:dyDescent="0.25">
      <c r="A9" s="3" t="s">
        <v>823</v>
      </c>
      <c r="B9" s="4" t="s">
        <v>824</v>
      </c>
      <c r="C9" s="4" t="s">
        <v>825</v>
      </c>
      <c r="D9" s="4" t="s">
        <v>826</v>
      </c>
      <c r="E9" s="4" t="s">
        <v>827</v>
      </c>
      <c r="F9" s="4" t="s">
        <v>805</v>
      </c>
    </row>
    <row r="10" ht="45" customHeight="1" spans="1:6" x14ac:dyDescent="0.25">
      <c r="A10" s="3" t="s">
        <v>828</v>
      </c>
      <c r="B10" s="4" t="s">
        <v>829</v>
      </c>
      <c r="C10" s="4" t="s">
        <v>830</v>
      </c>
      <c r="D10" s="4" t="s">
        <v>831</v>
      </c>
      <c r="E10" s="4" t="s">
        <v>832</v>
      </c>
      <c r="F10" s="4" t="s">
        <v>805</v>
      </c>
    </row>
    <row r="11" ht="45" customHeight="1" spans="1:6" x14ac:dyDescent="0.25">
      <c r="A11" s="3" t="s">
        <v>833</v>
      </c>
      <c r="B11" s="4" t="s">
        <v>834</v>
      </c>
      <c r="C11" s="4" t="s">
        <v>835</v>
      </c>
      <c r="D11" s="4" t="s">
        <v>836</v>
      </c>
      <c r="E11" s="4" t="s">
        <v>837</v>
      </c>
      <c r="F11" s="4" t="s">
        <v>805</v>
      </c>
    </row>
    <row r="12" ht="45" customHeight="1" spans="1:6" x14ac:dyDescent="0.25">
      <c r="A12" s="3" t="s">
        <v>838</v>
      </c>
      <c r="B12" s="4" t="s">
        <v>839</v>
      </c>
      <c r="C12" s="4" t="s">
        <v>840</v>
      </c>
      <c r="D12" s="4" t="s">
        <v>841</v>
      </c>
      <c r="E12" s="4" t="s">
        <v>842</v>
      </c>
      <c r="F12" s="4" t="s">
        <v>843</v>
      </c>
    </row>
    <row r="13" ht="45" customHeight="1" spans="1:6" x14ac:dyDescent="0.25">
      <c r="A13" s="3" t="s">
        <v>844</v>
      </c>
      <c r="B13" s="4" t="s">
        <v>845</v>
      </c>
      <c r="C13" s="4" t="s">
        <v>846</v>
      </c>
      <c r="D13" s="4" t="s">
        <v>847</v>
      </c>
      <c r="E13" s="4" t="s">
        <v>848</v>
      </c>
      <c r="F13" s="4" t="s">
        <v>849</v>
      </c>
    </row>
    <row r="14" ht="62.5" customHeight="1" spans="1:6" x14ac:dyDescent="0.25">
      <c r="A14" s="3" t="s">
        <v>850</v>
      </c>
      <c r="B14" s="4" t="s">
        <v>851</v>
      </c>
      <c r="C14" s="4" t="s">
        <v>852</v>
      </c>
      <c r="D14" s="4" t="s">
        <v>853</v>
      </c>
      <c r="E14" s="4" t="s">
        <v>854</v>
      </c>
      <c r="F14" s="4" t="s">
        <v>843</v>
      </c>
    </row>
    <row r="15" ht="75" customHeight="1" spans="1:6" x14ac:dyDescent="0.25">
      <c r="A15" s="3" t="s">
        <v>855</v>
      </c>
      <c r="B15" s="4" t="s">
        <v>856</v>
      </c>
      <c r="C15" s="4" t="s">
        <v>857</v>
      </c>
      <c r="D15" s="4" t="s">
        <v>858</v>
      </c>
      <c r="E15" s="4" t="s">
        <v>859</v>
      </c>
      <c r="F15" s="4" t="s">
        <v>843</v>
      </c>
    </row>
    <row r="16" ht="50" customHeight="1" spans="1:6" x14ac:dyDescent="0.25">
      <c r="A16" s="3" t="s">
        <v>860</v>
      </c>
      <c r="B16" s="4" t="s">
        <v>861</v>
      </c>
      <c r="C16" s="4" t="s">
        <v>862</v>
      </c>
      <c r="D16" s="4" t="s">
        <v>863</v>
      </c>
      <c r="E16" s="4" t="s">
        <v>864</v>
      </c>
      <c r="F16" s="4" t="s">
        <v>865</v>
      </c>
    </row>
    <row r="17" ht="45" customHeight="1" spans="1:6" x14ac:dyDescent="0.25">
      <c r="A17" s="3" t="s">
        <v>866</v>
      </c>
      <c r="B17" s="4" t="s">
        <v>867</v>
      </c>
      <c r="C17" s="4" t="s">
        <v>868</v>
      </c>
      <c r="D17" s="4" t="s">
        <v>869</v>
      </c>
      <c r="E17" s="4" t="s">
        <v>870</v>
      </c>
      <c r="F17" s="4" t="s">
        <v>871</v>
      </c>
    </row>
    <row r="18" ht="45" customHeight="1" spans="1:6" x14ac:dyDescent="0.25">
      <c r="A18" s="3" t="s">
        <v>872</v>
      </c>
      <c r="B18" s="4" t="s">
        <v>873</v>
      </c>
      <c r="C18" s="4" t="s">
        <v>874</v>
      </c>
      <c r="D18" s="4" t="s">
        <v>875</v>
      </c>
      <c r="E18" s="4" t="s">
        <v>876</v>
      </c>
      <c r="F18" s="4" t="s">
        <v>871</v>
      </c>
    </row>
    <row r="19" ht="50" customHeight="1" spans="1:6" x14ac:dyDescent="0.25">
      <c r="A19" s="3" t="s">
        <v>877</v>
      </c>
      <c r="B19" s="4" t="s">
        <v>878</v>
      </c>
      <c r="C19" s="4" t="s">
        <v>879</v>
      </c>
      <c r="D19" s="4" t="s">
        <v>880</v>
      </c>
      <c r="E19" s="4" t="s">
        <v>881</v>
      </c>
      <c r="F19" s="4" t="s">
        <v>805</v>
      </c>
    </row>
    <row r="20" ht="50" customHeight="1" spans="1:6" x14ac:dyDescent="0.25">
      <c r="A20" s="3" t="s">
        <v>882</v>
      </c>
      <c r="B20" s="4" t="s">
        <v>883</v>
      </c>
      <c r="C20" s="4" t="s">
        <v>884</v>
      </c>
      <c r="D20" s="4" t="s">
        <v>885</v>
      </c>
      <c r="E20" s="4" t="s">
        <v>886</v>
      </c>
      <c r="F20" s="4" t="s">
        <v>887</v>
      </c>
    </row>
    <row r="21" ht="45" customHeight="1" spans="1:6" x14ac:dyDescent="0.25">
      <c r="A21" s="3" t="s">
        <v>888</v>
      </c>
      <c r="B21" s="4" t="s">
        <v>889</v>
      </c>
      <c r="C21" s="4" t="s">
        <v>890</v>
      </c>
      <c r="D21" s="4" t="s">
        <v>891</v>
      </c>
      <c r="E21" s="4" t="s">
        <v>892</v>
      </c>
      <c r="F21" s="4" t="s">
        <v>893</v>
      </c>
    </row>
    <row r="22" ht="45" customHeight="1" spans="1:6" x14ac:dyDescent="0.25">
      <c r="A22" s="3" t="s">
        <v>894</v>
      </c>
      <c r="B22" s="4" t="s">
        <v>895</v>
      </c>
      <c r="C22" s="4" t="s">
        <v>896</v>
      </c>
      <c r="D22" s="4" t="s">
        <v>897</v>
      </c>
      <c r="E22" s="4" t="s">
        <v>898</v>
      </c>
      <c r="F22" s="4" t="s">
        <v>899</v>
      </c>
    </row>
    <row r="23" ht="45" customHeight="1" spans="1:6" x14ac:dyDescent="0.25">
      <c r="A23" s="3" t="s">
        <v>900</v>
      </c>
      <c r="B23" s="4" t="s">
        <v>901</v>
      </c>
      <c r="C23" s="4" t="s">
        <v>902</v>
      </c>
      <c r="D23" s="4" t="s">
        <v>903</v>
      </c>
      <c r="E23" s="4" t="s">
        <v>904</v>
      </c>
      <c r="F23" s="4" t="s">
        <v>905</v>
      </c>
    </row>
    <row r="24" ht="45" customHeight="1" spans="1:6" x14ac:dyDescent="0.25">
      <c r="A24" s="3" t="s">
        <v>906</v>
      </c>
      <c r="B24" s="4" t="s">
        <v>907</v>
      </c>
      <c r="C24" s="4" t="s">
        <v>908</v>
      </c>
      <c r="D24" s="4" t="s">
        <v>909</v>
      </c>
      <c r="E24" s="4" t="s">
        <v>910</v>
      </c>
      <c r="F24" s="4" t="s">
        <v>805</v>
      </c>
    </row>
    <row r="25" ht="45" customHeight="1" spans="1:6" x14ac:dyDescent="0.25">
      <c r="A25" s="3" t="s">
        <v>911</v>
      </c>
      <c r="B25" s="4" t="s">
        <v>912</v>
      </c>
      <c r="C25" s="4" t="s">
        <v>913</v>
      </c>
      <c r="D25" s="4" t="s">
        <v>914</v>
      </c>
      <c r="E25" s="4" t="s">
        <v>915</v>
      </c>
      <c r="F25" s="4" t="s">
        <v>805</v>
      </c>
    </row>
    <row r="26" ht="62.5" customHeight="1" spans="1:6" x14ac:dyDescent="0.25">
      <c r="A26" s="3" t="s">
        <v>916</v>
      </c>
      <c r="B26" s="4" t="s">
        <v>917</v>
      </c>
      <c r="C26" s="4" t="s">
        <v>918</v>
      </c>
      <c r="D26" s="4" t="s">
        <v>919</v>
      </c>
      <c r="E26" s="4" t="s">
        <v>920</v>
      </c>
      <c r="F26" s="4" t="s">
        <v>805</v>
      </c>
    </row>
    <row r="27" ht="45" customHeight="1" spans="1:6" x14ac:dyDescent="0.25">
      <c r="A27" s="3" t="s">
        <v>921</v>
      </c>
      <c r="B27" s="4" t="s">
        <v>922</v>
      </c>
      <c r="C27" s="4" t="s">
        <v>923</v>
      </c>
      <c r="D27" s="4" t="s">
        <v>924</v>
      </c>
      <c r="E27" s="4" t="s">
        <v>925</v>
      </c>
      <c r="F27" s="4" t="s">
        <v>843</v>
      </c>
    </row>
    <row r="28" ht="45" customHeight="1" spans="1:6" x14ac:dyDescent="0.25">
      <c r="A28" s="3" t="s">
        <v>926</v>
      </c>
      <c r="B28" s="4" t="s">
        <v>927</v>
      </c>
      <c r="C28" s="4" t="s">
        <v>928</v>
      </c>
      <c r="D28" s="4" t="s">
        <v>929</v>
      </c>
      <c r="E28" s="4" t="s">
        <v>930</v>
      </c>
      <c r="F28" s="4" t="s">
        <v>805</v>
      </c>
    </row>
  </sheetData>
  <mergeCells count="2">
    <mergeCell ref="A1:F1"/>
    <mergeCell ref="A2:F2"/>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5"/>
  <sheetViews>
    <sheetView workbookViewId="0" showGridLines="0">
      <pane ySplit="4" topLeftCell="A5" activePane="bottomLeft" state="frozen"/>
      <selection pane="bottomLeft"/>
    </sheetView>
  </sheetViews>
  <sheetFormatPr defaultRowHeight="15" outlineLevelRow="0" outlineLevelCol="0" x14ac:dyDescent="55"/>
  <cols>
    <col min="1" max="1" width="16" customWidth="1"/>
    <col min="2" max="2" width="24" customWidth="1"/>
    <col min="3" max="3" width="26" customWidth="1"/>
    <col min="4" max="4" width="10" customWidth="1"/>
    <col min="5" max="5" width="60" customWidth="1"/>
  </cols>
  <sheetData>
    <row r="1" ht="26" customHeight="1" spans="1:5" x14ac:dyDescent="0.25">
      <c r="A1" s="1" t="s">
        <v>931</v>
      </c>
      <c r="B1" s="1"/>
      <c r="C1" s="1"/>
      <c r="D1" s="1"/>
      <c r="E1" s="1"/>
    </row>
    <row r="2" ht="30" customHeight="1" spans="1:5" x14ac:dyDescent="0.25">
      <c r="A2" s="2" t="s">
        <v>932</v>
      </c>
      <c r="B2" s="2"/>
      <c r="C2" s="2"/>
      <c r="D2" s="2"/>
      <c r="E2" s="2"/>
    </row>
    <row r="4" ht="32" customHeight="1" spans="1:5" x14ac:dyDescent="0.25">
      <c r="A4" s="6" t="s">
        <v>933</v>
      </c>
      <c r="B4" s="6" t="s">
        <v>934</v>
      </c>
      <c r="C4" s="6" t="s">
        <v>935</v>
      </c>
      <c r="D4" s="6" t="s">
        <v>936</v>
      </c>
      <c r="E4" s="6" t="s">
        <v>937</v>
      </c>
    </row>
    <row r="5" ht="20" customHeight="1" spans="1:5" x14ac:dyDescent="0.25">
      <c r="A5" s="4" t="s">
        <v>938</v>
      </c>
      <c r="B5" s="9" t="s">
        <v>939</v>
      </c>
      <c r="C5" s="4" t="s">
        <v>940</v>
      </c>
      <c r="D5" s="23" t="s">
        <v>941</v>
      </c>
      <c r="E5" s="4" t="s">
        <v>942</v>
      </c>
    </row>
    <row r="6" ht="20" customHeight="1" spans="1:5" x14ac:dyDescent="0.25">
      <c r="A6" s="4" t="s">
        <v>938</v>
      </c>
      <c r="B6" s="9" t="s">
        <v>943</v>
      </c>
      <c r="C6" s="4" t="s">
        <v>944</v>
      </c>
      <c r="D6" s="24" t="s">
        <v>941</v>
      </c>
      <c r="E6" s="4" t="s">
        <v>945</v>
      </c>
    </row>
    <row r="7" ht="20" customHeight="1" spans="1:5" x14ac:dyDescent="0.25">
      <c r="A7" s="4" t="s">
        <v>938</v>
      </c>
      <c r="B7" s="9" t="s">
        <v>946</v>
      </c>
      <c r="C7" s="4" t="s">
        <v>947</v>
      </c>
      <c r="D7" s="25" t="s">
        <v>941</v>
      </c>
      <c r="E7" s="4" t="s">
        <v>948</v>
      </c>
    </row>
    <row r="8" ht="20" customHeight="1" spans="1:5" x14ac:dyDescent="0.25">
      <c r="A8" s="4" t="s">
        <v>938</v>
      </c>
      <c r="B8" s="9" t="s">
        <v>949</v>
      </c>
      <c r="C8" s="4" t="s">
        <v>950</v>
      </c>
      <c r="D8" s="10" t="s">
        <v>941</v>
      </c>
      <c r="E8" s="4" t="s">
        <v>951</v>
      </c>
    </row>
    <row r="9" ht="20" customHeight="1" spans="1:5" x14ac:dyDescent="0.25">
      <c r="A9" s="4" t="s">
        <v>938</v>
      </c>
      <c r="B9" s="9" t="s">
        <v>952</v>
      </c>
      <c r="C9" s="4" t="s">
        <v>953</v>
      </c>
      <c r="D9" s="26" t="s">
        <v>941</v>
      </c>
      <c r="E9" s="4" t="s">
        <v>954</v>
      </c>
    </row>
    <row r="10" ht="20" customHeight="1" spans="1:5" x14ac:dyDescent="0.25">
      <c r="A10" s="4" t="s">
        <v>938</v>
      </c>
      <c r="B10" s="9" t="s">
        <v>955</v>
      </c>
      <c r="C10" s="4" t="s">
        <v>956</v>
      </c>
      <c r="D10" s="27" t="s">
        <v>941</v>
      </c>
      <c r="E10" s="4" t="s">
        <v>957</v>
      </c>
    </row>
    <row r="11" ht="20" customHeight="1" spans="1:5" x14ac:dyDescent="0.25">
      <c r="A11" s="4" t="s">
        <v>938</v>
      </c>
      <c r="B11" s="9" t="s">
        <v>958</v>
      </c>
      <c r="C11" s="4" t="s">
        <v>959</v>
      </c>
      <c r="D11" s="8" t="s">
        <v>941</v>
      </c>
      <c r="E11" s="4" t="s">
        <v>960</v>
      </c>
    </row>
    <row r="12" ht="20" customHeight="1" spans="1:5" x14ac:dyDescent="0.25">
      <c r="A12" s="4" t="s">
        <v>938</v>
      </c>
      <c r="B12" s="9" t="s">
        <v>961</v>
      </c>
      <c r="C12" s="4" t="s">
        <v>962</v>
      </c>
      <c r="D12" s="28" t="s">
        <v>941</v>
      </c>
      <c r="E12" s="4" t="s">
        <v>963</v>
      </c>
    </row>
    <row r="13" ht="20" customHeight="1" spans="1:5" x14ac:dyDescent="0.25">
      <c r="A13" s="4" t="s">
        <v>877</v>
      </c>
      <c r="B13" s="9" t="s">
        <v>964</v>
      </c>
      <c r="C13" s="4" t="s">
        <v>965</v>
      </c>
      <c r="D13" s="29" t="s">
        <v>941</v>
      </c>
      <c r="E13" s="4" t="s">
        <v>966</v>
      </c>
    </row>
    <row r="14" ht="20" customHeight="1" spans="1:5" x14ac:dyDescent="0.25">
      <c r="A14" s="4" t="s">
        <v>877</v>
      </c>
      <c r="B14" s="9" t="s">
        <v>967</v>
      </c>
      <c r="C14" s="4" t="s">
        <v>968</v>
      </c>
      <c r="D14" s="30" t="s">
        <v>941</v>
      </c>
      <c r="E14" s="4" t="s">
        <v>969</v>
      </c>
    </row>
    <row r="15" ht="20" customHeight="1" spans="1:5" x14ac:dyDescent="0.25">
      <c r="A15" s="4" t="s">
        <v>970</v>
      </c>
      <c r="B15" s="9" t="s">
        <v>971</v>
      </c>
      <c r="C15" s="4" t="s">
        <v>972</v>
      </c>
      <c r="D15" s="14" t="s">
        <v>941</v>
      </c>
      <c r="E15" s="4" t="s">
        <v>973</v>
      </c>
    </row>
    <row r="16" ht="20" customHeight="1" spans="1:5" x14ac:dyDescent="0.25">
      <c r="A16" s="4" t="s">
        <v>970</v>
      </c>
      <c r="B16" s="9" t="s">
        <v>974</v>
      </c>
      <c r="C16" s="4" t="s">
        <v>975</v>
      </c>
      <c r="D16" s="16" t="s">
        <v>941</v>
      </c>
      <c r="E16" s="4" t="s">
        <v>976</v>
      </c>
    </row>
    <row r="17" ht="20" customHeight="1" spans="1:5" x14ac:dyDescent="0.25">
      <c r="A17" s="4" t="s">
        <v>970</v>
      </c>
      <c r="B17" s="9" t="s">
        <v>977</v>
      </c>
      <c r="C17" s="4" t="s">
        <v>978</v>
      </c>
      <c r="D17" s="22" t="s">
        <v>941</v>
      </c>
      <c r="E17" s="4" t="s">
        <v>979</v>
      </c>
    </row>
    <row r="18" ht="20" customHeight="1" spans="1:5" x14ac:dyDescent="0.25">
      <c r="A18" s="4" t="s">
        <v>970</v>
      </c>
      <c r="B18" s="9" t="s">
        <v>980</v>
      </c>
      <c r="C18" s="4" t="s">
        <v>981</v>
      </c>
      <c r="D18" s="12" t="s">
        <v>941</v>
      </c>
      <c r="E18" s="4" t="s">
        <v>982</v>
      </c>
    </row>
    <row r="19" ht="20" customHeight="1" spans="1:5" x14ac:dyDescent="0.25">
      <c r="A19" s="4" t="s">
        <v>970</v>
      </c>
      <c r="B19" s="9" t="s">
        <v>983</v>
      </c>
      <c r="C19" s="4" t="s">
        <v>984</v>
      </c>
      <c r="D19" s="8" t="s">
        <v>941</v>
      </c>
      <c r="E19" s="4" t="s">
        <v>985</v>
      </c>
    </row>
    <row r="20" ht="20" customHeight="1" spans="1:5" x14ac:dyDescent="0.25">
      <c r="A20" s="4" t="s">
        <v>986</v>
      </c>
      <c r="B20" s="9" t="s">
        <v>987</v>
      </c>
      <c r="C20" s="4" t="s">
        <v>988</v>
      </c>
      <c r="D20" s="20" t="s">
        <v>941</v>
      </c>
      <c r="E20" s="4" t="s">
        <v>989</v>
      </c>
    </row>
    <row r="21" ht="20" customHeight="1" spans="1:5" x14ac:dyDescent="0.25">
      <c r="A21" s="4" t="s">
        <v>986</v>
      </c>
      <c r="B21" s="9" t="s">
        <v>990</v>
      </c>
      <c r="C21" s="4" t="s">
        <v>991</v>
      </c>
      <c r="D21" s="31" t="s">
        <v>941</v>
      </c>
      <c r="E21" s="4" t="s">
        <v>992</v>
      </c>
    </row>
    <row r="22" ht="20" customHeight="1" spans="1:5" x14ac:dyDescent="0.25">
      <c r="A22" s="4" t="s">
        <v>986</v>
      </c>
      <c r="B22" s="9" t="s">
        <v>993</v>
      </c>
      <c r="C22" s="4" t="s">
        <v>994</v>
      </c>
      <c r="D22" s="32" t="s">
        <v>941</v>
      </c>
      <c r="E22" s="4" t="s">
        <v>995</v>
      </c>
    </row>
    <row r="23" ht="20" customHeight="1" spans="1:5" x14ac:dyDescent="0.25">
      <c r="A23" s="4" t="s">
        <v>986</v>
      </c>
      <c r="B23" s="9" t="s">
        <v>996</v>
      </c>
      <c r="C23" s="4" t="s">
        <v>997</v>
      </c>
      <c r="D23" s="33" t="s">
        <v>941</v>
      </c>
      <c r="E23" s="4" t="s">
        <v>998</v>
      </c>
    </row>
    <row r="24" ht="20" customHeight="1" spans="1:5" x14ac:dyDescent="0.25">
      <c r="A24" s="4" t="s">
        <v>986</v>
      </c>
      <c r="B24" s="9" t="s">
        <v>999</v>
      </c>
      <c r="C24" s="4" t="s">
        <v>1000</v>
      </c>
      <c r="D24" s="18" t="s">
        <v>941</v>
      </c>
      <c r="E24" s="4" t="s">
        <v>1001</v>
      </c>
    </row>
    <row r="25" ht="20" customHeight="1" spans="1:5" x14ac:dyDescent="0.25">
      <c r="A25" s="4" t="s">
        <v>986</v>
      </c>
      <c r="B25" s="9" t="s">
        <v>1002</v>
      </c>
      <c r="C25" s="4" t="s">
        <v>1003</v>
      </c>
      <c r="D25" s="14" t="s">
        <v>941</v>
      </c>
      <c r="E25" s="4" t="s">
        <v>1004</v>
      </c>
    </row>
    <row r="26" ht="20" customHeight="1" spans="1:5" x14ac:dyDescent="0.25">
      <c r="A26" s="4" t="s">
        <v>986</v>
      </c>
      <c r="B26" s="9" t="s">
        <v>1005</v>
      </c>
      <c r="C26" s="4" t="s">
        <v>1006</v>
      </c>
      <c r="D26" s="16" t="s">
        <v>941</v>
      </c>
      <c r="E26" s="4" t="s">
        <v>1007</v>
      </c>
    </row>
    <row r="27" ht="20" customHeight="1" spans="1:5" x14ac:dyDescent="0.25">
      <c r="A27" s="4" t="s">
        <v>986</v>
      </c>
      <c r="B27" s="9" t="s">
        <v>1008</v>
      </c>
      <c r="C27" s="4" t="s">
        <v>1009</v>
      </c>
      <c r="D27" s="34" t="s">
        <v>941</v>
      </c>
      <c r="E27" s="4" t="s">
        <v>1010</v>
      </c>
    </row>
    <row r="28" ht="20" customHeight="1" spans="1:5" x14ac:dyDescent="0.25">
      <c r="A28" s="4" t="s">
        <v>1011</v>
      </c>
      <c r="B28" s="9" t="s">
        <v>1012</v>
      </c>
      <c r="C28" s="4" t="s">
        <v>1013</v>
      </c>
      <c r="D28" s="35" t="s">
        <v>941</v>
      </c>
      <c r="E28" s="4" t="s">
        <v>1014</v>
      </c>
    </row>
    <row r="29" ht="20" customHeight="1" spans="1:5" x14ac:dyDescent="0.25">
      <c r="A29" s="4" t="s">
        <v>800</v>
      </c>
      <c r="B29" s="9" t="s">
        <v>1015</v>
      </c>
      <c r="C29" s="4" t="s">
        <v>1016</v>
      </c>
      <c r="D29" s="4" t="s">
        <v>941</v>
      </c>
      <c r="E29" s="4" t="s">
        <v>1017</v>
      </c>
    </row>
    <row r="30" ht="20" customHeight="1" spans="1:5" x14ac:dyDescent="0.25">
      <c r="A30" s="4" t="s">
        <v>800</v>
      </c>
      <c r="B30" s="9" t="s">
        <v>1018</v>
      </c>
      <c r="C30" s="4" t="s">
        <v>1019</v>
      </c>
      <c r="D30" s="4" t="s">
        <v>941</v>
      </c>
      <c r="E30" s="4" t="s">
        <v>1020</v>
      </c>
    </row>
    <row r="31" ht="20" customHeight="1" spans="1:5" x14ac:dyDescent="0.25">
      <c r="A31" s="4" t="s">
        <v>1021</v>
      </c>
      <c r="B31" s="9" t="s">
        <v>1022</v>
      </c>
      <c r="C31" s="4" t="s">
        <v>1023</v>
      </c>
      <c r="D31" s="4" t="s">
        <v>941</v>
      </c>
      <c r="E31" s="4" t="s">
        <v>1024</v>
      </c>
    </row>
    <row r="32" ht="20" customHeight="1" spans="1:5" x14ac:dyDescent="0.25">
      <c r="A32" s="4" t="s">
        <v>1025</v>
      </c>
      <c r="B32" s="9" t="s">
        <v>1026</v>
      </c>
      <c r="C32" s="4" t="s">
        <v>1027</v>
      </c>
      <c r="D32" s="4" t="s">
        <v>941</v>
      </c>
      <c r="E32" s="4" t="s">
        <v>1028</v>
      </c>
    </row>
    <row r="33" ht="20" customHeight="1" spans="1:5" x14ac:dyDescent="0.25">
      <c r="A33" s="4" t="s">
        <v>1029</v>
      </c>
      <c r="B33" s="9" t="s">
        <v>1030</v>
      </c>
      <c r="C33" s="4" t="s">
        <v>1031</v>
      </c>
      <c r="D33" s="4" t="s">
        <v>941</v>
      </c>
      <c r="E33" s="4" t="s">
        <v>1032</v>
      </c>
    </row>
    <row r="34" ht="20" customHeight="1" spans="1:5" x14ac:dyDescent="0.25">
      <c r="A34" s="4" t="s">
        <v>1033</v>
      </c>
      <c r="B34" s="9" t="s">
        <v>1034</v>
      </c>
      <c r="C34" s="4" t="s">
        <v>1035</v>
      </c>
      <c r="D34" s="4" t="s">
        <v>941</v>
      </c>
      <c r="E34" s="4" t="s">
        <v>1036</v>
      </c>
    </row>
    <row r="35" ht="20" customHeight="1" spans="1:5" x14ac:dyDescent="0.25">
      <c r="A35" s="4" t="s">
        <v>1033</v>
      </c>
      <c r="B35" s="9" t="s">
        <v>1037</v>
      </c>
      <c r="C35" s="4" t="s">
        <v>1038</v>
      </c>
      <c r="D35" s="4" t="s">
        <v>941</v>
      </c>
      <c r="E35" s="4" t="s">
        <v>1039</v>
      </c>
    </row>
  </sheetData>
  <mergeCells count="2">
    <mergeCell ref="A1:E1"/>
    <mergeCell ref="A2:E2"/>
  </mergeCells>
  <pageSetup paperSize="9"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1"/>
  <sheetViews>
    <sheetView workbookViewId="0" showGridLines="0">
      <pane ySplit="4" topLeftCell="A5" activePane="bottomLeft" state="frozen"/>
      <selection pane="bottomLeft"/>
    </sheetView>
  </sheetViews>
  <sheetFormatPr defaultRowHeight="15" outlineLevelRow="0" outlineLevelCol="0" x14ac:dyDescent="55"/>
  <cols>
    <col min="1" max="1" width="30" customWidth="1"/>
    <col min="2" max="2" width="22" customWidth="1"/>
    <col min="3" max="3" width="56" customWidth="1"/>
    <col min="4" max="4" width="14" customWidth="1"/>
    <col min="5" max="5" width="80" customWidth="1"/>
  </cols>
  <sheetData>
    <row r="1" ht="26" customHeight="1" spans="1:5" x14ac:dyDescent="0.25">
      <c r="A1" s="1" t="s">
        <v>1040</v>
      </c>
      <c r="B1" s="1"/>
      <c r="C1" s="1"/>
      <c r="D1" s="1"/>
      <c r="E1" s="1"/>
    </row>
    <row r="2" ht="30" customHeight="1" spans="1:5" x14ac:dyDescent="0.25">
      <c r="A2" s="2" t="s">
        <v>1041</v>
      </c>
      <c r="B2" s="2"/>
      <c r="C2" s="2"/>
      <c r="D2" s="2"/>
      <c r="E2" s="2"/>
    </row>
    <row r="4" ht="32" customHeight="1" spans="1:5" x14ac:dyDescent="0.25">
      <c r="A4" s="6" t="s">
        <v>1042</v>
      </c>
      <c r="B4" s="6" t="s">
        <v>1043</v>
      </c>
      <c r="C4" s="6" t="s">
        <v>1044</v>
      </c>
      <c r="D4" s="6" t="s">
        <v>1045</v>
      </c>
      <c r="E4" s="6" t="s">
        <v>1046</v>
      </c>
    </row>
    <row r="5" ht="287.5" customHeight="1" spans="1:5" x14ac:dyDescent="0.25">
      <c r="A5" s="3" t="s">
        <v>1047</v>
      </c>
      <c r="B5" s="4" t="s">
        <v>1048</v>
      </c>
      <c r="C5" s="4" t="s">
        <v>1049</v>
      </c>
      <c r="D5" s="36">
        <f>COUNTIF('Page Design Map'!$I$5:$I$92,"*Deel*")</f>
        <v>23</v>
      </c>
      <c r="E5" s="4" t="s">
        <v>1050</v>
      </c>
    </row>
    <row r="6" ht="112.5" customHeight="1" spans="1:5" x14ac:dyDescent="0.25">
      <c r="A6" s="3" t="s">
        <v>1051</v>
      </c>
      <c r="B6" s="4" t="s">
        <v>1048</v>
      </c>
      <c r="C6" s="4" t="s">
        <v>1052</v>
      </c>
      <c r="D6" s="36">
        <f>COUNTIF('Page Design Map'!$I$5:$I$92,"*Remote.com*")</f>
        <v>9</v>
      </c>
      <c r="E6" s="4" t="s">
        <v>1053</v>
      </c>
    </row>
    <row r="7" ht="187.5" customHeight="1" spans="1:5" x14ac:dyDescent="0.25">
      <c r="A7" s="3" t="s">
        <v>1054</v>
      </c>
      <c r="B7" s="4" t="s">
        <v>1055</v>
      </c>
      <c r="C7" s="4" t="s">
        <v>1056</v>
      </c>
      <c r="D7" s="36">
        <f>COUNTIF('Page Design Map'!$I$5:$I$92,"*Rippling*")</f>
        <v>15</v>
      </c>
      <c r="E7" s="4" t="s">
        <v>1057</v>
      </c>
    </row>
    <row r="8" ht="275" customHeight="1" spans="1:5" x14ac:dyDescent="0.25">
      <c r="A8" s="3" t="s">
        <v>1058</v>
      </c>
      <c r="B8" s="4" t="s">
        <v>1059</v>
      </c>
      <c r="C8" s="4" t="s">
        <v>1060</v>
      </c>
      <c r="D8" s="36">
        <f>COUNTIF('Page Design Map'!$I$5:$I$92,"*Keka*")</f>
        <v>22</v>
      </c>
      <c r="E8" s="4" t="s">
        <v>1061</v>
      </c>
    </row>
    <row r="9" ht="175" customHeight="1" spans="1:5" x14ac:dyDescent="0.25">
      <c r="A9" s="3" t="s">
        <v>1062</v>
      </c>
      <c r="B9" s="4" t="s">
        <v>1059</v>
      </c>
      <c r="C9" s="4" t="s">
        <v>1063</v>
      </c>
      <c r="D9" s="36">
        <f>COUNTIF('Page Design Map'!$I$5:$I$92,"*greytHR*")</f>
        <v>14</v>
      </c>
      <c r="E9" s="4" t="s">
        <v>1064</v>
      </c>
    </row>
    <row r="10" ht="112.5" customHeight="1" spans="1:5" x14ac:dyDescent="0.25">
      <c r="A10" s="3" t="s">
        <v>1065</v>
      </c>
      <c r="B10" s="4" t="s">
        <v>1059</v>
      </c>
      <c r="C10" s="4" t="s">
        <v>1066</v>
      </c>
      <c r="D10" s="36">
        <f>COUNTIF('Page Design Map'!$I$5:$I$92,"*Darwinbox*")</f>
        <v>9</v>
      </c>
      <c r="E10" s="4" t="s">
        <v>1067</v>
      </c>
    </row>
    <row r="11" ht="100" customHeight="1" spans="1:5" x14ac:dyDescent="0.25">
      <c r="A11" s="3" t="s">
        <v>1068</v>
      </c>
      <c r="B11" s="4" t="s">
        <v>1069</v>
      </c>
      <c r="C11" s="4" t="s">
        <v>1070</v>
      </c>
      <c r="D11" s="36">
        <f>COUNTIF('Page Design Map'!$I$5:$I$92,"*Zoho*")</f>
        <v>8</v>
      </c>
      <c r="E11" s="4" t="s">
        <v>1071</v>
      </c>
    </row>
    <row r="12" ht="75" customHeight="1" spans="1:5" x14ac:dyDescent="0.25">
      <c r="A12" s="3" t="s">
        <v>1072</v>
      </c>
      <c r="B12" s="4" t="s">
        <v>1073</v>
      </c>
      <c r="C12" s="4" t="s">
        <v>1074</v>
      </c>
      <c r="D12" s="36">
        <f>COUNTIF('Page Design Map'!$I$5:$I$92,"*BambooHR*")</f>
        <v>6</v>
      </c>
      <c r="E12" s="4" t="s">
        <v>1075</v>
      </c>
    </row>
    <row r="13" ht="50" customHeight="1" spans="1:5" x14ac:dyDescent="0.25">
      <c r="A13" s="3" t="s">
        <v>1076</v>
      </c>
      <c r="B13" s="4" t="s">
        <v>1077</v>
      </c>
      <c r="C13" s="4" t="s">
        <v>1078</v>
      </c>
      <c r="D13" s="36">
        <f>COUNTIF('Page Design Map'!$I$5:$I$92,"*Workday*")</f>
        <v>4</v>
      </c>
      <c r="E13" s="4" t="s">
        <v>1079</v>
      </c>
    </row>
    <row r="14" ht="37.5" customHeight="1" spans="1:5" x14ac:dyDescent="0.25">
      <c r="A14" s="3" t="s">
        <v>1080</v>
      </c>
      <c r="B14" s="4" t="s">
        <v>1081</v>
      </c>
      <c r="C14" s="4" t="s">
        <v>1082</v>
      </c>
      <c r="D14" s="36">
        <f>COUNTIF('Page Design Map'!$I$5:$I$92,"*Gusto*")</f>
        <v>3</v>
      </c>
      <c r="E14" s="4" t="s">
        <v>1083</v>
      </c>
    </row>
    <row r="15" ht="25" customHeight="1" spans="1:5" x14ac:dyDescent="0.25">
      <c r="A15" s="3" t="s">
        <v>1084</v>
      </c>
      <c r="B15" s="4" t="s">
        <v>1073</v>
      </c>
      <c r="C15" s="4" t="s">
        <v>1085</v>
      </c>
      <c r="D15" s="36">
        <f>COUNTIF('Page Design Map'!$I$5:$I$92,"*HiBob*")</f>
        <v>2</v>
      </c>
      <c r="E15" s="4" t="s">
        <v>1086</v>
      </c>
    </row>
    <row r="16" ht="175" customHeight="1" spans="1:5" x14ac:dyDescent="0.25">
      <c r="A16" s="3" t="s">
        <v>1087</v>
      </c>
      <c r="B16" s="4" t="s">
        <v>1088</v>
      </c>
      <c r="C16" s="4" t="s">
        <v>1089</v>
      </c>
      <c r="D16" s="36">
        <f>COUNTIF('Page Design Map'!$I$5:$I$92,"*Stripe*")</f>
        <v>14</v>
      </c>
      <c r="E16" s="4" t="s">
        <v>1090</v>
      </c>
    </row>
    <row r="17" ht="125" customHeight="1" spans="1:5" x14ac:dyDescent="0.25">
      <c r="A17" s="3" t="s">
        <v>1091</v>
      </c>
      <c r="B17" s="4" t="s">
        <v>1092</v>
      </c>
      <c r="C17" s="4" t="s">
        <v>1093</v>
      </c>
      <c r="D17" s="36">
        <f>COUNTIF('Page Design Map'!$I$5:$I$92,"*Linear*")</f>
        <v>10</v>
      </c>
      <c r="E17" s="4" t="s">
        <v>1094</v>
      </c>
    </row>
    <row r="18" ht="87.5" customHeight="1" spans="1:5" x14ac:dyDescent="0.25">
      <c r="A18" s="3" t="s">
        <v>1095</v>
      </c>
      <c r="B18" s="4" t="s">
        <v>1096</v>
      </c>
      <c r="C18" s="4" t="s">
        <v>1097</v>
      </c>
      <c r="D18" s="36">
        <f>COUNTIF('Page Design Map'!$I$5:$I$92,"*Jira*")</f>
        <v>7</v>
      </c>
      <c r="E18" s="4" t="s">
        <v>1098</v>
      </c>
    </row>
    <row r="19" ht="25" customHeight="1" spans="1:5" x14ac:dyDescent="0.25">
      <c r="A19" s="3" t="s">
        <v>1099</v>
      </c>
      <c r="B19" s="4" t="s">
        <v>1100</v>
      </c>
      <c r="C19" s="4" t="s">
        <v>1101</v>
      </c>
      <c r="D19" s="36">
        <f>COUNTIF('Page Design Map'!$I$5:$I$92,"*Atlassian*")</f>
        <v>2</v>
      </c>
      <c r="E19" s="4" t="s">
        <v>1102</v>
      </c>
    </row>
    <row r="20" ht="62.5" customHeight="1" spans="1:5" x14ac:dyDescent="0.25">
      <c r="A20" s="3" t="s">
        <v>1103</v>
      </c>
      <c r="B20" s="4" t="s">
        <v>1104</v>
      </c>
      <c r="C20" s="4" t="s">
        <v>1105</v>
      </c>
      <c r="D20" s="36">
        <f>COUNTIF('Page Design Map'!$I$5:$I$92,"*Salesforce*")</f>
        <v>5</v>
      </c>
      <c r="E20" s="4" t="s">
        <v>1106</v>
      </c>
    </row>
    <row r="21" ht="25" customHeight="1" spans="1:5" x14ac:dyDescent="0.25">
      <c r="A21" s="3" t="s">
        <v>1107</v>
      </c>
      <c r="B21" s="4" t="s">
        <v>1104</v>
      </c>
      <c r="C21" s="4" t="s">
        <v>1108</v>
      </c>
      <c r="D21" s="36">
        <f>COUNTIF('Page Design Map'!$I$5:$I$92,"*HubSpot*")</f>
        <v>2</v>
      </c>
      <c r="E21" s="4" t="s">
        <v>1109</v>
      </c>
    </row>
    <row r="22" ht="25" customHeight="1" spans="1:5" x14ac:dyDescent="0.25">
      <c r="A22" s="3" t="s">
        <v>1110</v>
      </c>
      <c r="B22" s="4" t="s">
        <v>1111</v>
      </c>
      <c r="C22" s="4" t="s">
        <v>1112</v>
      </c>
      <c r="D22" s="36">
        <f>COUNTIF('Page Design Map'!$I$5:$I$92,"*Zendesk*")</f>
        <v>2</v>
      </c>
      <c r="E22" s="4" t="s">
        <v>1113</v>
      </c>
    </row>
    <row r="23" ht="20" customHeight="1" spans="1:5" x14ac:dyDescent="0.25">
      <c r="A23" s="3" t="s">
        <v>1114</v>
      </c>
      <c r="B23" s="4" t="s">
        <v>1111</v>
      </c>
      <c r="C23" s="4" t="s">
        <v>1115</v>
      </c>
      <c r="D23" s="36">
        <f>COUNTIF('Page Design Map'!$I$5:$I$92,"*Freshdesk*")</f>
        <v>1</v>
      </c>
      <c r="E23" s="4" t="s">
        <v>1116</v>
      </c>
    </row>
    <row r="24" ht="50" customHeight="1" spans="1:5" x14ac:dyDescent="0.25">
      <c r="A24" s="3" t="s">
        <v>1117</v>
      </c>
      <c r="B24" s="4" t="s">
        <v>1118</v>
      </c>
      <c r="C24" s="4" t="s">
        <v>1119</v>
      </c>
      <c r="D24" s="36">
        <f>COUNTIF('Page Design Map'!$I$5:$I$92,"*Intercom*")</f>
        <v>4</v>
      </c>
      <c r="E24" s="4" t="s">
        <v>1120</v>
      </c>
    </row>
    <row r="25" ht="87.5" customHeight="1" spans="1:5" x14ac:dyDescent="0.25">
      <c r="A25" s="3" t="s">
        <v>1121</v>
      </c>
      <c r="B25" s="4" t="s">
        <v>1122</v>
      </c>
      <c r="C25" s="4" t="s">
        <v>1123</v>
      </c>
      <c r="D25" s="36">
        <f>COUNTIF('Page Design Map'!$I$5:$I$92,"*DocuSign*")</f>
        <v>7</v>
      </c>
      <c r="E25" s="4" t="s">
        <v>1124</v>
      </c>
    </row>
    <row r="26" ht="75" customHeight="1" spans="1:5" x14ac:dyDescent="0.25">
      <c r="A26" s="3" t="s">
        <v>1125</v>
      </c>
      <c r="B26" s="4" t="s">
        <v>1126</v>
      </c>
      <c r="C26" s="4" t="s">
        <v>1127</v>
      </c>
      <c r="D26" s="36">
        <f>COUNTIF('Page Design Map'!$I$5:$I$92,"*PandaDoc*")</f>
        <v>6</v>
      </c>
      <c r="E26" s="4" t="s">
        <v>1128</v>
      </c>
    </row>
    <row r="27" ht="25" customHeight="1" spans="1:5" x14ac:dyDescent="0.25">
      <c r="A27" s="3" t="s">
        <v>1129</v>
      </c>
      <c r="B27" s="4" t="s">
        <v>1130</v>
      </c>
      <c r="C27" s="4" t="s">
        <v>1131</v>
      </c>
      <c r="D27" s="36">
        <f>COUNTIF('Page Design Map'!$I$5:$I$92,"*Vanta*")</f>
        <v>2</v>
      </c>
      <c r="E27" s="4" t="s">
        <v>1132</v>
      </c>
    </row>
    <row r="28" ht="20" customHeight="1" spans="1:5" x14ac:dyDescent="0.25">
      <c r="A28" s="3" t="s">
        <v>1133</v>
      </c>
      <c r="B28" s="4" t="s">
        <v>1130</v>
      </c>
      <c r="C28" s="4" t="s">
        <v>1134</v>
      </c>
      <c r="D28" s="36">
        <f>COUNTIF('Page Design Map'!$I$5:$I$92,"*Drata*")</f>
        <v>1</v>
      </c>
      <c r="E28" s="4" t="s">
        <v>1135</v>
      </c>
    </row>
    <row r="29" ht="37.5" customHeight="1" spans="1:5" x14ac:dyDescent="0.25">
      <c r="A29" s="3" t="s">
        <v>1136</v>
      </c>
      <c r="B29" s="4" t="s">
        <v>1137</v>
      </c>
      <c r="C29" s="4" t="s">
        <v>1138</v>
      </c>
      <c r="D29" s="36">
        <f>COUNTIF('Page Design Map'!$I$5:$I$92,"*Okta*")</f>
        <v>3</v>
      </c>
      <c r="E29" s="4" t="s">
        <v>1139</v>
      </c>
    </row>
    <row r="30" ht="37.5" customHeight="1" spans="1:5" x14ac:dyDescent="0.25">
      <c r="A30" s="3" t="s">
        <v>1140</v>
      </c>
      <c r="B30" s="4" t="s">
        <v>1141</v>
      </c>
      <c r="C30" s="4" t="s">
        <v>1142</v>
      </c>
      <c r="D30" s="36">
        <f>COUNTIF('Page Design Map'!$I$5:$I$92,"*ChatGPT*")</f>
        <v>3</v>
      </c>
      <c r="E30" s="4" t="s">
        <v>1143</v>
      </c>
    </row>
    <row r="31" ht="50" customHeight="1" spans="1:5" x14ac:dyDescent="0.25">
      <c r="A31" s="3" t="s">
        <v>1144</v>
      </c>
      <c r="B31" s="4" t="s">
        <v>1141</v>
      </c>
      <c r="C31" s="4" t="s">
        <v>1145</v>
      </c>
      <c r="D31" s="36">
        <f>COUNTIF('Page Design Map'!$I$5:$I$92,"*Copilot*")</f>
        <v>4</v>
      </c>
      <c r="E31" s="4" t="s">
        <v>1146</v>
      </c>
    </row>
    <row r="32" ht="50" customHeight="1" spans="1:5" x14ac:dyDescent="0.25">
      <c r="A32" s="3" t="s">
        <v>1147</v>
      </c>
      <c r="B32" s="4" t="s">
        <v>1148</v>
      </c>
      <c r="C32" s="4" t="s">
        <v>1149</v>
      </c>
      <c r="D32" s="36">
        <f>COUNTIF('Page Design Map'!$I$5:$I$92,"*Zapier*")</f>
        <v>4</v>
      </c>
      <c r="E32" s="4" t="s">
        <v>1150</v>
      </c>
    </row>
    <row r="33" ht="50" customHeight="1" spans="1:5" x14ac:dyDescent="0.25">
      <c r="A33" s="3" t="s">
        <v>1151</v>
      </c>
      <c r="B33" s="4" t="s">
        <v>1152</v>
      </c>
      <c r="C33" s="4" t="s">
        <v>1153</v>
      </c>
      <c r="D33" s="36">
        <f>COUNTIF('Page Design Map'!$I$5:$I$92,"*UiPath*")</f>
        <v>4</v>
      </c>
      <c r="E33" s="4" t="s">
        <v>1154</v>
      </c>
    </row>
    <row r="34" ht="50" customHeight="1" spans="1:5" x14ac:dyDescent="0.25">
      <c r="A34" s="3" t="s">
        <v>1155</v>
      </c>
      <c r="B34" s="4" t="s">
        <v>1156</v>
      </c>
      <c r="C34" s="4" t="s">
        <v>1157</v>
      </c>
      <c r="D34" s="36">
        <f>COUNTIF('Page Design Map'!$I$5:$I$92,"*Segment *")</f>
        <v>4</v>
      </c>
      <c r="E34" s="4" t="s">
        <v>1158</v>
      </c>
    </row>
    <row r="35" ht="112.5" customHeight="1" spans="1:5" x14ac:dyDescent="0.25">
      <c r="A35" s="3" t="s">
        <v>1159</v>
      </c>
      <c r="B35" s="4" t="s">
        <v>1160</v>
      </c>
      <c r="C35" s="4" t="s">
        <v>1161</v>
      </c>
      <c r="D35" s="36">
        <f>COUNTIF('Page Design Map'!$I$5:$I$92,"*Google*")</f>
        <v>9</v>
      </c>
      <c r="E35" s="4" t="s">
        <v>1162</v>
      </c>
    </row>
    <row r="36" ht="75" customHeight="1" spans="1:5" x14ac:dyDescent="0.25">
      <c r="A36" s="3" t="s">
        <v>1163</v>
      </c>
      <c r="B36" s="4" t="s">
        <v>1160</v>
      </c>
      <c r="C36" s="4" t="s">
        <v>1164</v>
      </c>
      <c r="D36" s="36">
        <f>COUNTIF('Page Design Map'!$I$5:$I$92,"*Notion*")</f>
        <v>6</v>
      </c>
      <c r="E36" s="4" t="s">
        <v>1165</v>
      </c>
    </row>
    <row r="37" ht="25" customHeight="1" spans="1:5" x14ac:dyDescent="0.25">
      <c r="A37" s="3" t="s">
        <v>1166</v>
      </c>
      <c r="B37" s="4" t="s">
        <v>1167</v>
      </c>
      <c r="C37" s="4" t="s">
        <v>1168</v>
      </c>
      <c r="D37" s="36">
        <f>COUNTIF('Page Design Map'!$I$5:$I$92,"*Clockify*")</f>
        <v>2</v>
      </c>
      <c r="E37" s="4" t="s">
        <v>1169</v>
      </c>
    </row>
    <row r="38" ht="25" customHeight="1" spans="1:5" x14ac:dyDescent="0.25">
      <c r="A38" s="3" t="s">
        <v>1170</v>
      </c>
      <c r="B38" s="4" t="s">
        <v>1167</v>
      </c>
      <c r="C38" s="4" t="s">
        <v>1171</v>
      </c>
      <c r="D38" s="36">
        <f>COUNTIF('Page Design Map'!$I$5:$I$92,"*Harvest*")</f>
        <v>2</v>
      </c>
      <c r="E38" s="4" t="s">
        <v>1172</v>
      </c>
    </row>
    <row r="39" ht="37.5" customHeight="1" spans="1:5" x14ac:dyDescent="0.25">
      <c r="A39" s="3" t="s">
        <v>1173</v>
      </c>
      <c r="B39" s="4" t="s">
        <v>1174</v>
      </c>
      <c r="C39" s="4" t="s">
        <v>1175</v>
      </c>
      <c r="D39" s="36">
        <f>COUNTIF('Page Design Map'!$I$5:$I$92,"*Apple*")</f>
        <v>3</v>
      </c>
      <c r="E39" s="4" t="s">
        <v>1176</v>
      </c>
    </row>
    <row r="40" ht="37.5" customHeight="1" spans="1:5" x14ac:dyDescent="0.25">
      <c r="A40" s="3" t="s">
        <v>1177</v>
      </c>
      <c r="B40" s="4" t="s">
        <v>1100</v>
      </c>
      <c r="C40" s="4" t="s">
        <v>1178</v>
      </c>
      <c r="D40" s="36">
        <f>COUNTIF('Page Design Map'!$I$5:$I$92,"*Material 3*")</f>
        <v>3</v>
      </c>
      <c r="E40" s="4" t="s">
        <v>1179</v>
      </c>
    </row>
    <row r="41" ht="50" customHeight="1" spans="1:5" x14ac:dyDescent="0.25">
      <c r="A41" s="3" t="s">
        <v>1180</v>
      </c>
      <c r="B41" s="4" t="s">
        <v>1181</v>
      </c>
      <c r="C41" s="4" t="s">
        <v>1182</v>
      </c>
      <c r="D41" s="36">
        <f>COUNTIF('Page Design Map'!$I$5:$I$92,"*Polaris*")</f>
        <v>4</v>
      </c>
      <c r="E41" s="4" t="s">
        <v>1183</v>
      </c>
    </row>
  </sheetData>
  <mergeCells count="2">
    <mergeCell ref="A1:E1"/>
    <mergeCell ref="A2:E2"/>
  </mergeCells>
  <pageSetup paperSize="9"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1"/>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48" customWidth="1"/>
    <col min="3" max="3" width="34" customWidth="1"/>
    <col min="4" max="4" width="40" customWidth="1"/>
    <col min="5" max="5" width="52" customWidth="1"/>
  </cols>
  <sheetData>
    <row r="1" ht="26" customHeight="1" spans="1:5" x14ac:dyDescent="0.25">
      <c r="A1" s="1" t="s">
        <v>1184</v>
      </c>
      <c r="B1" s="1"/>
      <c r="C1" s="1"/>
      <c r="D1" s="1"/>
      <c r="E1" s="1"/>
    </row>
    <row r="2" ht="30" customHeight="1" spans="1:5" x14ac:dyDescent="0.25">
      <c r="A2" s="2" t="s">
        <v>1185</v>
      </c>
      <c r="B2" s="2"/>
      <c r="C2" s="2"/>
      <c r="D2" s="2"/>
      <c r="E2" s="2"/>
    </row>
    <row r="4" ht="32" customHeight="1" spans="1:5" x14ac:dyDescent="0.25">
      <c r="A4" s="6" t="s">
        <v>19</v>
      </c>
      <c r="B4" s="6" t="s">
        <v>1186</v>
      </c>
      <c r="C4" s="6" t="s">
        <v>1187</v>
      </c>
      <c r="D4" s="6" t="s">
        <v>1188</v>
      </c>
      <c r="E4" s="6" t="s">
        <v>1189</v>
      </c>
    </row>
    <row r="5" ht="40" customHeight="1" spans="1:5" x14ac:dyDescent="0.25">
      <c r="A5" s="36">
        <v>1</v>
      </c>
      <c r="B5" s="4" t="s">
        <v>1190</v>
      </c>
      <c r="C5" s="4" t="s">
        <v>1191</v>
      </c>
      <c r="D5" s="4" t="s">
        <v>1192</v>
      </c>
      <c r="E5" s="4" t="s">
        <v>1193</v>
      </c>
    </row>
    <row r="6" ht="40" customHeight="1" spans="1:5" x14ac:dyDescent="0.25">
      <c r="A6" s="36">
        <v>2</v>
      </c>
      <c r="B6" s="4" t="s">
        <v>1194</v>
      </c>
      <c r="C6" s="4" t="s">
        <v>1195</v>
      </c>
      <c r="D6" s="4" t="s">
        <v>1196</v>
      </c>
      <c r="E6" s="4" t="s">
        <v>1197</v>
      </c>
    </row>
    <row r="7" ht="40" customHeight="1" spans="1:5" x14ac:dyDescent="0.25">
      <c r="A7" s="36">
        <v>3</v>
      </c>
      <c r="B7" s="4" t="s">
        <v>1198</v>
      </c>
      <c r="C7" s="4" t="s">
        <v>1199</v>
      </c>
      <c r="D7" s="4" t="s">
        <v>1200</v>
      </c>
      <c r="E7" s="4" t="s">
        <v>1201</v>
      </c>
    </row>
    <row r="8" ht="40" customHeight="1" spans="1:5" x14ac:dyDescent="0.25">
      <c r="A8" s="36">
        <v>4</v>
      </c>
      <c r="B8" s="4" t="s">
        <v>1202</v>
      </c>
      <c r="C8" s="4" t="s">
        <v>1203</v>
      </c>
      <c r="D8" s="4" t="s">
        <v>1204</v>
      </c>
      <c r="E8" s="4" t="s">
        <v>1205</v>
      </c>
    </row>
    <row r="9" ht="40" customHeight="1" spans="1:5" x14ac:dyDescent="0.25">
      <c r="A9" s="36">
        <v>5</v>
      </c>
      <c r="B9" s="4" t="s">
        <v>1206</v>
      </c>
      <c r="C9" s="4" t="s">
        <v>1207</v>
      </c>
      <c r="D9" s="4" t="s">
        <v>1208</v>
      </c>
      <c r="E9" s="4" t="s">
        <v>1209</v>
      </c>
    </row>
    <row r="10" ht="40" customHeight="1" spans="1:5" x14ac:dyDescent="0.25">
      <c r="A10" s="36">
        <v>6</v>
      </c>
      <c r="B10" s="4" t="s">
        <v>1210</v>
      </c>
      <c r="C10" s="4" t="s">
        <v>1211</v>
      </c>
      <c r="D10" s="4" t="s">
        <v>1212</v>
      </c>
      <c r="E10" s="4" t="s">
        <v>1213</v>
      </c>
    </row>
    <row r="11" ht="40" customHeight="1" spans="1:5" x14ac:dyDescent="0.25">
      <c r="A11" s="36">
        <v>7</v>
      </c>
      <c r="B11" s="4" t="s">
        <v>1214</v>
      </c>
      <c r="C11" s="4" t="s">
        <v>1215</v>
      </c>
      <c r="D11" s="4" t="s">
        <v>1216</v>
      </c>
      <c r="E11" s="4" t="s">
        <v>1217</v>
      </c>
    </row>
    <row r="12" ht="40" customHeight="1" spans="1:5" x14ac:dyDescent="0.25">
      <c r="A12" s="36">
        <v>8</v>
      </c>
      <c r="B12" s="4" t="s">
        <v>1218</v>
      </c>
      <c r="C12" s="4" t="s">
        <v>1219</v>
      </c>
      <c r="D12" s="4" t="s">
        <v>1220</v>
      </c>
      <c r="E12" s="4" t="s">
        <v>1221</v>
      </c>
    </row>
    <row r="13" ht="40" customHeight="1" spans="1:5" x14ac:dyDescent="0.25">
      <c r="A13" s="36">
        <v>9</v>
      </c>
      <c r="B13" s="4" t="s">
        <v>1222</v>
      </c>
      <c r="C13" s="4" t="s">
        <v>1223</v>
      </c>
      <c r="D13" s="4" t="s">
        <v>1224</v>
      </c>
      <c r="E13" s="4" t="s">
        <v>1225</v>
      </c>
    </row>
    <row r="14" ht="40" customHeight="1" spans="1:5" x14ac:dyDescent="0.25">
      <c r="A14" s="36">
        <v>10</v>
      </c>
      <c r="B14" s="4" t="s">
        <v>1226</v>
      </c>
      <c r="C14" s="4" t="s">
        <v>1227</v>
      </c>
      <c r="D14" s="4" t="s">
        <v>1228</v>
      </c>
      <c r="E14" s="4" t="s">
        <v>1229</v>
      </c>
    </row>
    <row r="15" ht="40" customHeight="1" spans="1:5" x14ac:dyDescent="0.25">
      <c r="A15" s="36">
        <v>11</v>
      </c>
      <c r="B15" s="4" t="s">
        <v>1230</v>
      </c>
      <c r="C15" s="4" t="s">
        <v>1231</v>
      </c>
      <c r="D15" s="4" t="s">
        <v>1232</v>
      </c>
      <c r="E15" s="4" t="s">
        <v>1233</v>
      </c>
    </row>
    <row r="16" ht="40" customHeight="1" spans="1:5" x14ac:dyDescent="0.25">
      <c r="A16" s="36">
        <v>12</v>
      </c>
      <c r="B16" s="4" t="s">
        <v>1234</v>
      </c>
      <c r="C16" s="4" t="s">
        <v>1235</v>
      </c>
      <c r="D16" s="4" t="s">
        <v>1236</v>
      </c>
      <c r="E16" s="4" t="s">
        <v>1237</v>
      </c>
    </row>
    <row r="17" ht="40" customHeight="1" spans="1:5" x14ac:dyDescent="0.25">
      <c r="A17" s="36">
        <v>13</v>
      </c>
      <c r="B17" s="4" t="s">
        <v>1238</v>
      </c>
      <c r="C17" s="4" t="s">
        <v>1239</v>
      </c>
      <c r="D17" s="4" t="s">
        <v>1240</v>
      </c>
      <c r="E17" s="4" t="s">
        <v>1241</v>
      </c>
    </row>
    <row r="18" ht="40" customHeight="1" spans="1:5" x14ac:dyDescent="0.25">
      <c r="A18" s="36">
        <v>14</v>
      </c>
      <c r="B18" s="4" t="s">
        <v>1242</v>
      </c>
      <c r="C18" s="4" t="s">
        <v>1243</v>
      </c>
      <c r="D18" s="4" t="s">
        <v>1244</v>
      </c>
      <c r="E18" s="4" t="s">
        <v>1245</v>
      </c>
    </row>
    <row r="19" ht="40" customHeight="1" spans="1:5" x14ac:dyDescent="0.25">
      <c r="A19" s="36">
        <v>15</v>
      </c>
      <c r="B19" s="4" t="s">
        <v>1246</v>
      </c>
      <c r="C19" s="4" t="s">
        <v>1247</v>
      </c>
      <c r="D19" s="4" t="s">
        <v>1244</v>
      </c>
      <c r="E19" s="4" t="s">
        <v>1248</v>
      </c>
    </row>
    <row r="20" ht="40" customHeight="1" spans="1:5" x14ac:dyDescent="0.25">
      <c r="A20" s="36">
        <v>16</v>
      </c>
      <c r="B20" s="4" t="s">
        <v>1249</v>
      </c>
      <c r="C20" s="4" t="s">
        <v>1250</v>
      </c>
      <c r="D20" s="4" t="s">
        <v>1251</v>
      </c>
      <c r="E20" s="4" t="s">
        <v>1252</v>
      </c>
    </row>
    <row r="21" ht="40" customHeight="1" spans="1:5" x14ac:dyDescent="0.25">
      <c r="A21" s="36">
        <v>17</v>
      </c>
      <c r="B21" s="4" t="s">
        <v>1253</v>
      </c>
      <c r="C21" s="4" t="s">
        <v>1254</v>
      </c>
      <c r="D21" s="4" t="s">
        <v>1255</v>
      </c>
      <c r="E21" s="4" t="s">
        <v>1256</v>
      </c>
    </row>
  </sheetData>
  <mergeCells count="2">
    <mergeCell ref="A1:E1"/>
    <mergeCell ref="A2:E2"/>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Page Design Map</vt:lpstr>
      <vt:lpstr>Design System</vt:lpstr>
      <vt:lpstr>Design Tokens</vt:lpstr>
      <vt:lpstr>Reference Index</vt:lpstr>
      <vt:lpstr>Observations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ADT design analysis</dc:creator>
  <dc:title/>
  <dc:subject/>
  <dc:description/>
  <cp:keywords/>
  <cp:category/>
  <cp:lastModifiedBy>Unknown</cp:lastModifiedBy>
  <dcterms:created xsi:type="dcterms:W3CDTF">2026-10-19T00:00:00Z</dcterms:created>
  <dcterms:modified xsi:type="dcterms:W3CDTF">2026-10-19T06:33:29Z</dcterms:modified>
</cp:coreProperties>
</file>